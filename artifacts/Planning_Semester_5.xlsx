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4 Bulan" sheetId="2" state="visible" r:id="rId2"/>
    <sheet name="WPM" sheetId="3" state="visible" r:id="rId3"/>
    <sheet name="GSA" sheetId="4" state="visible" r:id="rId4"/>
    <sheet name="Rumus" sheetId="5" state="visible" r:id="rId5"/>
    <sheet name="Cara pakai" sheetId="6" state="visible" r:id="rId6"/>
  </sheets>
  <definedNames>
    <definedName name="StatusSelesai">Rumus!$B$6</definedName>
    <definedName name="StatusJalan">Rumus!$B$7</definedName>
    <definedName name="StatusBelum">Rumus!$B$8</definedName>
    <definedName name="GsaSudah">Rumus!$B$30</definedName>
    <definedName name="GsaSisa">Rumus!$B$31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1C1915"/>
      <sz val="26"/>
    </font>
    <font>
      <name val="Calibri"/>
      <color rgb="006B6458"/>
      <sz val="10"/>
    </font>
    <font>
      <name val="Calibri"/>
      <b val="1"/>
      <color rgb="00F6F3EA"/>
      <sz val="11"/>
    </font>
    <font>
      <name val="Calibri"/>
      <b val="1"/>
      <color rgb="00F6F3EA"/>
      <sz val="9"/>
    </font>
    <font>
      <name val="Calibri"/>
      <color rgb="001C1915"/>
      <sz val="11"/>
    </font>
    <font>
      <name val="Calibri"/>
      <b val="1"/>
      <color rgb="002F4A42"/>
      <sz val="10"/>
    </font>
    <font>
      <name val="Consolas"/>
      <color rgb="002F4A42"/>
      <sz val="9"/>
    </font>
    <font>
      <name val="Calibri"/>
      <b val="1"/>
      <color rgb="001C1915"/>
      <sz val="13"/>
    </font>
    <font>
      <name val="Calibri"/>
      <b val="1"/>
      <color rgb="002F4A42"/>
      <sz val="22"/>
    </font>
    <font>
      <name val="Calibri"/>
      <b val="1"/>
      <color rgb="004F6F62"/>
      <sz val="9"/>
    </font>
    <font>
      <name val="Calibri"/>
      <b val="1"/>
      <color rgb="001C1915"/>
      <sz val="18"/>
    </font>
    <font>
      <name val="Calibri"/>
      <b val="1"/>
      <color rgb="001C1915"/>
      <sz val="16"/>
    </font>
  </fonts>
  <fills count="12">
    <fill>
      <patternFill/>
    </fill>
    <fill>
      <patternFill patternType="gray125"/>
    </fill>
    <fill>
      <patternFill patternType="solid">
        <fgColor rgb="00F3EFE6"/>
      </patternFill>
    </fill>
    <fill>
      <patternFill patternType="solid">
        <fgColor rgb="002F4A42"/>
      </patternFill>
    </fill>
    <fill>
      <patternFill patternType="solid">
        <fgColor rgb="004F6F62"/>
      </patternFill>
    </fill>
    <fill>
      <patternFill patternType="solid">
        <fgColor rgb="00FFFFFF"/>
      </patternFill>
    </fill>
    <fill>
      <patternFill patternType="solid">
        <fgColor rgb="00EFE8DC"/>
      </patternFill>
    </fill>
    <fill>
      <patternFill patternType="solid">
        <fgColor rgb="00FBF8F1"/>
      </patternFill>
    </fill>
    <fill>
      <patternFill patternType="solid">
        <fgColor rgb="00E8EFEA"/>
      </patternFill>
    </fill>
    <fill>
      <patternFill patternType="solid">
        <fgColor rgb="003D6B4F"/>
      </patternFill>
    </fill>
    <fill>
      <patternFill patternType="solid">
        <fgColor rgb="008A6A32"/>
      </patternFill>
    </fill>
    <fill>
      <patternFill patternType="solid">
        <fgColor rgb="00EEEAE2"/>
      </patternFill>
    </fill>
  </fills>
  <borders count="11">
    <border>
      <left/>
      <right/>
      <top/>
      <bottom/>
      <diagonal/>
    </border>
    <border>
      <left style="thin">
        <color rgb="00DDD4C4"/>
      </left>
      <right style="thin">
        <color rgb="00DDD4C4"/>
      </right>
      <top style="thin">
        <color rgb="00DDD4C4"/>
      </top>
      <bottom style="thin">
        <color rgb="00DDD4C4"/>
      </bottom>
    </border>
    <border>
      <left/>
      <right/>
      <top style="thin">
        <color rgb="00DDD4C4"/>
      </top>
      <bottom/>
      <diagonal/>
    </border>
    <border>
      <left/>
      <right style="thin">
        <color rgb="00DDD4C4"/>
      </right>
      <top style="thin">
        <color rgb="00DDD4C4"/>
      </top>
      <bottom/>
      <diagonal/>
    </border>
    <border>
      <left/>
      <right/>
      <top style="thin">
        <color rgb="00DDD4C4"/>
      </top>
      <bottom style="thin">
        <color rgb="00DDD4C4"/>
      </bottom>
      <diagonal/>
    </border>
    <border>
      <left/>
      <right style="thin">
        <color rgb="00DDD4C4"/>
      </right>
      <top style="thin">
        <color rgb="00DDD4C4"/>
      </top>
      <bottom style="thin">
        <color rgb="00DDD4C4"/>
      </bottom>
      <diagonal/>
    </border>
    <border>
      <left style="thin">
        <color rgb="00DDD4C4"/>
      </left>
      <right/>
      <top/>
      <bottom/>
      <diagonal/>
    </border>
    <border>
      <left/>
      <right style="thin">
        <color rgb="00DDD4C4"/>
      </right>
      <top/>
      <bottom/>
      <diagonal/>
    </border>
    <border>
      <left style="thin">
        <color rgb="00DDD4C4"/>
      </left>
      <right/>
      <top/>
      <bottom style="thin">
        <color rgb="00DDD4C4"/>
      </bottom>
      <diagonal/>
    </border>
    <border>
      <left/>
      <right/>
      <top/>
      <bottom style="thin">
        <color rgb="00DDD4C4"/>
      </bottom>
      <diagonal/>
    </border>
    <border>
      <left/>
      <right style="thin">
        <color rgb="00DDD4C4"/>
      </right>
      <top/>
      <bottom style="thin">
        <color rgb="00DDD4C4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0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9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2" fillId="7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1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1" fontId="7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9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9" fontId="2" fillId="5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9" fontId="9" fillId="6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9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Calibri"/>
        <b val="1"/>
        <color rgb="00F6F3EA"/>
        <sz val="11"/>
      </font>
      <fill>
        <patternFill patternType="solid">
          <fgColor rgb="003D6B4F"/>
        </patternFill>
      </fill>
    </dxf>
    <dxf>
      <font>
        <name val="Calibri"/>
        <b val="1"/>
        <color rgb="00F6F3EA"/>
        <sz val="11"/>
      </font>
      <fill>
        <patternFill patternType="solid">
          <fgColor rgb="008A6A32"/>
        </patternFill>
      </fill>
    </dxf>
    <dxf>
      <fill>
        <patternFill patternType="solid">
          <fgColor rgb="00EEEA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(live)</a:t>
            </a:r>
          </a:p>
        </rich>
      </tx>
    </title>
    <plotArea>
      <doughnutChart>
        <varyColors val="1"/>
        <ser>
          <idx val="0"/>
          <order val="0"/>
          <tx>
            <strRef>
              <f>'Rumus'!B5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3D6B4F"/>
              </a:solidFill>
              <a:ln>
                <a:prstDash val="solid"/>
              </a:ln>
            </spPr>
          </dPt>
          <dPt>
            <idx val="1"/>
            <spPr>
              <a:solidFill>
                <a:srgbClr val="8A6A32"/>
              </a:solidFill>
              <a:ln>
                <a:prstDash val="solid"/>
              </a:ln>
            </spPr>
          </dPt>
          <dPt>
            <idx val="2"/>
            <spPr>
              <a:solidFill>
                <a:srgbClr val="B9B0A2"/>
              </a:solidFill>
              <a:ln>
                <a:prstDash val="solid"/>
              </a:ln>
            </spPr>
          </dPt>
          <cat>
            <numRef>
              <f>'Rumus'!$A$6:$A$8</f>
            </numRef>
          </cat>
          <val>
            <numRef>
              <f>'Rumus'!$B$6:$B$8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Jalur (live)</a:t>
            </a:r>
          </a:p>
        </rich>
      </tx>
    </title>
    <plotArea>
      <doughnutChart>
        <varyColors val="1"/>
        <ser>
          <idx val="0"/>
          <order val="0"/>
          <tx>
            <strRef>
              <f>'Rumus'!D12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2F4A42"/>
              </a:solidFill>
              <a:ln>
                <a:prstDash val="solid"/>
              </a:ln>
            </spPr>
          </dPt>
          <dPt>
            <idx val="1"/>
            <spPr>
              <a:solidFill>
                <a:srgbClr val="4F6F62"/>
              </a:solidFill>
              <a:ln>
                <a:prstDash val="solid"/>
              </a:ln>
            </spPr>
          </dPt>
          <dPt>
            <idx val="2"/>
            <spPr>
              <a:solidFill>
                <a:srgbClr val="8A6A32"/>
              </a:solidFill>
              <a:ln>
                <a:prstDash val="solid"/>
              </a:ln>
            </spPr>
          </dPt>
          <dPt>
            <idx val="3"/>
            <spPr>
              <a:solidFill>
                <a:srgbClr val="3D6B4F"/>
              </a:solidFill>
              <a:ln>
                <a:prstDash val="solid"/>
              </a:ln>
            </spPr>
          </dPt>
          <dPt>
            <idx val="4"/>
            <spPr>
              <a:solidFill>
                <a:srgbClr val="8A7A62"/>
              </a:solidFill>
              <a:ln>
                <a:prstDash val="solid"/>
              </a:ln>
            </spPr>
          </dPt>
          <dPt>
            <idx val="5"/>
            <spPr>
              <a:solidFill>
                <a:srgbClr val="6B6458"/>
              </a:solidFill>
              <a:ln>
                <a:prstDash val="solid"/>
              </a:ln>
            </spPr>
          </dPt>
          <dPt>
            <idx val="6"/>
            <spPr>
              <a:solidFill>
                <a:srgbClr val="1C1915"/>
              </a:solidFill>
              <a:ln>
                <a:prstDash val="solid"/>
              </a:ln>
            </spPr>
          </dPt>
          <cat>
            <numRef>
              <f>'Rumus'!$A$13:$A$19</f>
            </numRef>
          </cat>
          <val>
            <numRef>
              <f>'Rumus'!$D$13:$D$19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GSA (live)</a:t>
            </a:r>
          </a:p>
        </rich>
      </tx>
    </title>
    <plotArea>
      <doughnutChart>
        <varyColors val="1"/>
        <ser>
          <idx val="0"/>
          <order val="0"/>
          <tx>
            <strRef>
              <f>'Rumus'!B29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3D6B4F"/>
              </a:solidFill>
              <a:ln>
                <a:prstDash val="solid"/>
              </a:ln>
            </spPr>
          </dPt>
          <dPt>
            <idx val="1"/>
            <spPr>
              <a:solidFill>
                <a:srgbClr val="B9B0A2"/>
              </a:solidFill>
              <a:ln>
                <a:prstDash val="solid"/>
              </a:ln>
            </spPr>
          </dPt>
          <cat>
            <numRef>
              <f>'Rumus'!$A$30:$A$31</f>
            </numRef>
          </cat>
          <val>
            <numRef>
              <f>'Rumus'!$B$30:$B$31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WPM: target vs aktual (live)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'WPM'!C5</f>
            </strRef>
          </tx>
          <spPr>
            <a:solidFill>
              <a:srgbClr val="B9B0A2"/>
            </a:solidFill>
            <a:ln>
              <a:prstDash val="solid"/>
            </a:ln>
          </spPr>
          <cat>
            <numRef>
              <f>'WPM'!$A$6:$A$9</f>
            </numRef>
          </cat>
          <val>
            <numRef>
              <f>'WPM'!$C$6:$C$9</f>
            </numRef>
          </val>
        </ser>
        <ser>
          <idx val="1"/>
          <order val="1"/>
          <tx>
            <strRef>
              <f>'WPM'!D5</f>
            </strRef>
          </tx>
          <spPr>
            <a:solidFill>
              <a:srgbClr val="2F4A42"/>
            </a:solidFill>
            <a:ln>
              <a:prstDash val="solid"/>
            </a:ln>
          </spPr>
          <cat>
            <numRef>
              <f>'WPM'!$A$6:$A$9</f>
            </numRef>
          </cat>
          <val>
            <numRef>
              <f>'WPM'!$D$6:$D$9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GSA vs target (live)</a:t>
            </a:r>
          </a:p>
        </rich>
      </tx>
    </title>
    <plotArea>
      <doughnutChart>
        <varyColors val="1"/>
        <ser>
          <idx val="0"/>
          <order val="0"/>
          <tx>
            <strRef>
              <f>'Rumus'!B29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3D6B4F"/>
              </a:solidFill>
              <a:ln>
                <a:prstDash val="solid"/>
              </a:ln>
            </spPr>
          </dPt>
          <dPt>
            <idx val="1"/>
            <spPr>
              <a:solidFill>
                <a:srgbClr val="B9B0A2"/>
              </a:solidFill>
              <a:ln>
                <a:prstDash val="solid"/>
              </a:ln>
            </spPr>
          </dPt>
          <cat>
            <numRef>
              <f>'Rumus'!$A$30:$A$31</f>
            </numRef>
          </cat>
          <val>
            <numRef>
              <f>'Rumus'!$B$30:$B$31</f>
            </numRef>
          </val>
        </ser>
        <firstSliceAng val="0"/>
        <holeSize val="6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3311999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15</row>
      <rowOff>0</rowOff>
    </from>
    <ext cx="3311999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15</row>
      <rowOff>0</rowOff>
    </from>
    <ext cx="3311999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36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2F4A42"/>
    <outlinePr summaryBelow="1" summaryRight="1"/>
    <pageSetUpPr fitToPage="1"/>
  </sheetPr>
  <dimension ref="A1:M70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.2" customWidth="1" min="1" max="1"/>
    <col width="14" customWidth="1" min="2" max="2"/>
    <col width="14" customWidth="1" min="3" max="3"/>
    <col width="14" customWidth="1" min="4" max="4"/>
    <col width="2.2" customWidth="1" min="5" max="5"/>
    <col width="14" customWidth="1" min="6" max="6"/>
    <col width="14" customWidth="1" min="7" max="7"/>
    <col width="14" customWidth="1" min="8" max="8"/>
    <col width="2.2" customWidth="1" min="9" max="9"/>
    <col width="14" customWidth="1" min="10" max="10"/>
    <col width="14" customWidth="1" min="11" max="11"/>
    <col width="14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2" t="inlineStr">
        <is>
          <t>OKTOBER 2026  –  JANUARI 2027</t>
        </is>
      </c>
    </row>
    <row r="3" ht="36" customHeight="1">
      <c r="A3" s="1" t="n"/>
      <c r="B3" s="3" t="inlineStr">
        <is>
          <t>Planning Semester 5</t>
        </is>
      </c>
    </row>
    <row r="4">
      <c r="A4" s="1" t="n"/>
      <c r="B4" s="4" t="inlineStr">
        <is>
          <t>Semua angka dan grafik tertaut rumus ke sheet 4 Bulan, WPM, dan GSA (lewat sheet Rumus).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22" customHeight="1">
      <c r="A6" s="1" t="n"/>
      <c r="B6" s="5" t="inlineStr">
        <is>
          <t>OKTOBER 2026</t>
        </is>
      </c>
      <c r="C6" s="6" t="n"/>
      <c r="D6" s="7" t="n"/>
      <c r="E6" s="5" t="inlineStr">
        <is>
          <t>NOVEMBER 2026</t>
        </is>
      </c>
      <c r="F6" s="6" t="n"/>
      <c r="G6" s="7" t="n"/>
      <c r="H6" s="5" t="inlineStr">
        <is>
          <t>DESEMBER 2026</t>
        </is>
      </c>
      <c r="I6" s="6" t="n"/>
      <c r="J6" s="7" t="n"/>
      <c r="K6" s="5" t="inlineStr">
        <is>
          <t>JANUARI 2027</t>
        </is>
      </c>
      <c r="L6" s="6" t="n"/>
      <c r="M6" s="7" t="n"/>
    </row>
    <row r="7">
      <c r="A7" s="1" t="n"/>
      <c r="B7" s="8" t="inlineStr">
        <is>
          <t>Berani memulai</t>
        </is>
      </c>
      <c r="C7" s="9" t="n"/>
      <c r="D7" s="10" t="n"/>
      <c r="E7" s="8" t="inlineStr">
        <is>
          <t>Mulai terbiasa</t>
        </is>
      </c>
      <c r="F7" s="9" t="n"/>
      <c r="G7" s="10" t="n"/>
      <c r="H7" s="8" t="inlineStr">
        <is>
          <t>Menjadi terampil</t>
        </is>
      </c>
      <c r="I7" s="9" t="n"/>
      <c r="J7" s="10" t="n"/>
      <c r="K7" s="8" t="inlineStr">
        <is>
          <t>Menerapkan</t>
        </is>
      </c>
      <c r="L7" s="9" t="n"/>
      <c r="M7" s="10" t="n"/>
    </row>
    <row r="8">
      <c r="A8" s="1" t="n"/>
      <c r="B8" s="11" t="n"/>
      <c r="C8" s="12" t="n"/>
      <c r="D8" s="13" t="n"/>
      <c r="E8" s="11" t="n"/>
      <c r="F8" s="12" t="n"/>
      <c r="G8" s="13" t="n"/>
      <c r="H8" s="11" t="n"/>
      <c r="I8" s="12" t="n"/>
      <c r="J8" s="13" t="n"/>
      <c r="K8" s="11" t="n"/>
      <c r="L8" s="12" t="n"/>
      <c r="M8" s="13" t="n"/>
    </row>
    <row r="9">
      <c r="A9" s="1" t="n"/>
      <c r="B9" s="14" t="inlineStr">
        <is>
          <t>Public speaking + social openness</t>
        </is>
      </c>
      <c r="C9" s="6" t="n"/>
      <c r="D9" s="7" t="n"/>
      <c r="E9" s="14" t="inlineStr">
        <is>
          <t>Conversation + GSA consistency</t>
        </is>
      </c>
      <c r="F9" s="6" t="n"/>
      <c r="G9" s="7" t="n"/>
      <c r="H9" s="14" t="inlineStr">
        <is>
          <t>Public speaking + technical output</t>
        </is>
      </c>
      <c r="I9" s="6" t="n"/>
      <c r="J9" s="7" t="n"/>
      <c r="K9" s="14" t="inlineStr">
        <is>
          <t>GSA completion + real-world communication</t>
        </is>
      </c>
      <c r="L9" s="6" t="n"/>
      <c r="M9" s="7" t="n"/>
    </row>
    <row r="10">
      <c r="A10" s="1" t="n"/>
      <c r="B10" s="15" t="inlineStr">
        <is>
          <t>Bangun fondasi tanpa menunggu percaya diri.</t>
        </is>
      </c>
      <c r="C10" s="9" t="n"/>
      <c r="D10" s="10" t="n"/>
      <c r="E10" s="15" t="inlineStr">
        <is>
          <t>Ubah kebiasaan yang baru dimulai menjadi ritme.</t>
        </is>
      </c>
      <c r="F10" s="9" t="n"/>
      <c r="G10" s="10" t="n"/>
      <c r="H10" s="15" t="inlineStr">
        <is>
          <t>Skill mulai menghasilkan karya yang terlihat.</t>
        </is>
      </c>
      <c r="I10" s="9" t="n"/>
      <c r="J10" s="10" t="n"/>
      <c r="K10" s="15" t="inlineStr">
        <is>
          <t>Pakai skill di situasi nyata, finish strong.</t>
        </is>
      </c>
      <c r="L10" s="9" t="n"/>
      <c r="M10" s="10" t="n"/>
    </row>
    <row r="11">
      <c r="A11" s="1" t="n"/>
      <c r="B11" s="11" t="n"/>
      <c r="C11" s="12" t="n"/>
      <c r="D11" s="13" t="n"/>
      <c r="E11" s="11" t="n"/>
      <c r="F11" s="12" t="n"/>
      <c r="G11" s="13" t="n"/>
      <c r="H11" s="11" t="n"/>
      <c r="I11" s="12" t="n"/>
      <c r="J11" s="13" t="n"/>
      <c r="K11" s="11" t="n"/>
      <c r="L11" s="12" t="n"/>
      <c r="M11" s="13" t="n"/>
    </row>
    <row r="12" ht="30" customHeight="1">
      <c r="A12" s="1" t="n"/>
      <c r="B12" s="16">
        <f>Rumus!B23</f>
        <v/>
      </c>
      <c r="C12" s="6" t="n"/>
      <c r="D12" s="7" t="n"/>
      <c r="E12" s="16">
        <f>Rumus!B24</f>
        <v/>
      </c>
      <c r="F12" s="6" t="n"/>
      <c r="G12" s="7" t="n"/>
      <c r="H12" s="16">
        <f>Rumus!B25</f>
        <v/>
      </c>
      <c r="I12" s="6" t="n"/>
      <c r="J12" s="7" t="n"/>
      <c r="K12" s="16">
        <f>Rumus!B26</f>
        <v/>
      </c>
      <c r="L12" s="6" t="n"/>
      <c r="M12" s="7" t="n"/>
    </row>
    <row r="13">
      <c r="A13" s="1" t="n"/>
      <c r="B13" s="14">
        <f>Rumus!E23</f>
        <v/>
      </c>
      <c r="C13" s="6" t="n"/>
      <c r="D13" s="7" t="n"/>
      <c r="E13" s="14">
        <f>Rumus!E24</f>
        <v/>
      </c>
      <c r="F13" s="6" t="n"/>
      <c r="G13" s="7" t="n"/>
      <c r="H13" s="14">
        <f>Rumus!E25</f>
        <v/>
      </c>
      <c r="I13" s="6" t="n"/>
      <c r="J13" s="7" t="n"/>
      <c r="K13" s="14">
        <f>Rumus!E26</f>
        <v/>
      </c>
      <c r="L13" s="6" t="n"/>
      <c r="M13" s="7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7" t="inlineStr">
        <is>
          <t>Status keseluruhan</t>
        </is>
      </c>
      <c r="E15" s="1" t="n"/>
      <c r="F15" s="17" t="inlineStr">
        <is>
          <t>Progres per jalur</t>
        </is>
      </c>
      <c r="I15" s="1" t="n"/>
      <c r="J15" s="17" t="inlineStr">
        <is>
          <t>GSA vs target 36</t>
        </is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8">
        <f>Rumus!A6&amp;" "&amp;Rumus!B6</f>
        <v/>
      </c>
      <c r="C31" s="19">
        <f>Rumus!A7&amp;" "&amp;Rumus!B7</f>
        <v/>
      </c>
      <c r="D31" s="20">
        <f>Rumus!A8&amp;" "&amp;Rumus!B8</f>
        <v/>
      </c>
      <c r="E31" s="1" t="n"/>
      <c r="F31" s="1" t="n"/>
      <c r="G31" s="1" t="n"/>
      <c r="H31" s="1" t="n"/>
      <c r="I31" s="1" t="n"/>
      <c r="J31" s="21">
        <f>Rumus!B30&amp;" / 36 konten"</f>
        <v/>
      </c>
      <c r="K31" s="6" t="n"/>
      <c r="L31" s="7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7" t="inlineStr">
        <is>
          <t>Lima jalur utama</t>
        </is>
      </c>
    </row>
    <row r="34">
      <c r="A34" s="1" t="n"/>
      <c r="B34" s="22" t="inlineStr">
        <is>
          <t>Communication</t>
        </is>
      </c>
      <c r="C34" s="10" t="n"/>
      <c r="D34" s="22" t="inlineStr">
        <is>
          <t>Social &amp; Mindset</t>
        </is>
      </c>
      <c r="E34" s="10" t="n"/>
      <c r="F34" s="22" t="inlineStr">
        <is>
          <t>GSA &amp; Content</t>
        </is>
      </c>
      <c r="G34" s="10" t="n"/>
      <c r="H34" s="22" t="inlineStr">
        <is>
          <t>Career</t>
        </is>
      </c>
      <c r="I34" s="10" t="n"/>
      <c r="J34" s="22" t="inlineStr">
        <is>
          <t>Technical</t>
        </is>
      </c>
      <c r="K34" s="9" t="n"/>
      <c r="L34" s="10" t="n"/>
    </row>
    <row r="35">
      <c r="A35" s="1" t="n"/>
      <c r="B35" s="11" t="n"/>
      <c r="C35" s="13" t="n"/>
      <c r="D35" s="11" t="n"/>
      <c r="E35" s="13" t="n"/>
      <c r="F35" s="11" t="n"/>
      <c r="G35" s="13" t="n"/>
      <c r="H35" s="11" t="n"/>
      <c r="I35" s="13" t="n"/>
      <c r="J35" s="11" t="n"/>
      <c r="K35" s="12" t="n"/>
      <c r="L35" s="13" t="n"/>
    </row>
    <row r="36">
      <c r="A36" s="1" t="n"/>
      <c r="B36" s="23" t="inlineStr">
        <is>
          <t>berani → terbiasa → terampil → natural</t>
        </is>
      </c>
      <c r="C36" s="10" t="n"/>
      <c r="D36" s="23" t="inlineStr">
        <is>
          <t>interaksi → percakapan → relasi</t>
        </is>
      </c>
      <c r="E36" s="10" t="n"/>
      <c r="F36" s="23" t="inlineStr">
        <is>
          <t>adaptasi → konsistensi → portfolio</t>
        </is>
      </c>
      <c r="G36" s="10" t="n"/>
      <c r="H36" s="23" t="inlineStr">
        <is>
          <t>eksplorasi → aplikasi → seleksi</t>
        </is>
      </c>
      <c r="I36" s="10" t="n"/>
      <c r="J36" s="23" t="inlineStr">
        <is>
          <t>Excel → SQL → data analysis</t>
        </is>
      </c>
      <c r="K36" s="9" t="n"/>
      <c r="L36" s="10" t="n"/>
    </row>
    <row r="37">
      <c r="A37" s="1" t="n"/>
      <c r="B37" s="11" t="n"/>
      <c r="C37" s="13" t="n"/>
      <c r="D37" s="11" t="n"/>
      <c r="E37" s="13" t="n"/>
      <c r="F37" s="11" t="n"/>
      <c r="G37" s="13" t="n"/>
      <c r="H37" s="11" t="n"/>
      <c r="I37" s="13" t="n"/>
      <c r="J37" s="11" t="n"/>
      <c r="K37" s="12" t="n"/>
      <c r="L37" s="13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7" t="inlineStr">
        <is>
          <t>Roadmap</t>
        </is>
      </c>
    </row>
    <row r="40">
      <c r="A40" s="1" t="n"/>
      <c r="B40" s="5" t="inlineStr">
        <is>
          <t>OKTOBER 2026</t>
        </is>
      </c>
      <c r="C40" s="6" t="n"/>
      <c r="D40" s="7" t="n"/>
      <c r="E40" s="5" t="inlineStr">
        <is>
          <t>NOVEMBER 2026</t>
        </is>
      </c>
      <c r="F40" s="6" t="n"/>
      <c r="G40" s="7" t="n"/>
      <c r="H40" s="5" t="inlineStr">
        <is>
          <t>DESEMBER 2026</t>
        </is>
      </c>
      <c r="I40" s="6" t="n"/>
      <c r="J40" s="7" t="n"/>
      <c r="K40" s="5" t="inlineStr">
        <is>
          <t>JANUARI 2027</t>
        </is>
      </c>
      <c r="L40" s="6" t="n"/>
      <c r="M40" s="7" t="n"/>
    </row>
    <row r="41">
      <c r="A41" s="1" t="n"/>
      <c r="B41" s="24" t="inlineStr">
        <is>
          <t>Berani memulai</t>
        </is>
      </c>
      <c r="C41" s="9" t="n"/>
      <c r="D41" s="10" t="n"/>
      <c r="E41" s="24" t="inlineStr">
        <is>
          <t>Mulai terbiasa</t>
        </is>
      </c>
      <c r="F41" s="9" t="n"/>
      <c r="G41" s="10" t="n"/>
      <c r="H41" s="24" t="inlineStr">
        <is>
          <t>Menjadi terampil</t>
        </is>
      </c>
      <c r="I41" s="9" t="n"/>
      <c r="J41" s="10" t="n"/>
      <c r="K41" s="24" t="inlineStr">
        <is>
          <t>Menerapkan</t>
        </is>
      </c>
      <c r="L41" s="9" t="n"/>
      <c r="M41" s="10" t="n"/>
    </row>
    <row r="42">
      <c r="A42" s="1" t="n"/>
      <c r="B42" s="11" t="n"/>
      <c r="C42" s="12" t="n"/>
      <c r="D42" s="13" t="n"/>
      <c r="E42" s="11" t="n"/>
      <c r="F42" s="12" t="n"/>
      <c r="G42" s="13" t="n"/>
      <c r="H42" s="11" t="n"/>
      <c r="I42" s="12" t="n"/>
      <c r="J42" s="13" t="n"/>
      <c r="K42" s="11" t="n"/>
      <c r="L42" s="12" t="n"/>
      <c r="M42" s="13" t="n"/>
    </row>
    <row r="43">
      <c r="A43" s="1" t="n"/>
      <c r="B43" s="25" t="inlineStr">
        <is>
          <t>Apa yang perlu mulai dilakukan tanpa menunggu percaya diri?</t>
        </is>
      </c>
      <c r="C43" s="9" t="n"/>
      <c r="D43" s="10" t="n"/>
      <c r="E43" s="25" t="inlineStr">
        <is>
          <t>Bagaimana membuat perilaku Oktober menjadi lebih natural?</t>
        </is>
      </c>
      <c r="F43" s="9" t="n"/>
      <c r="G43" s="10" t="n"/>
      <c r="H43" s="25" t="inlineStr">
        <is>
          <t>Bagaimana mengubah kebiasaan menjadi kemampuan yang terlihat?</t>
        </is>
      </c>
      <c r="I43" s="9" t="n"/>
      <c r="J43" s="10" t="n"/>
      <c r="K43" s="25" t="inlineStr">
        <is>
          <t>Apakah skill yang dibangun benar-benar bisa dipakai?</t>
        </is>
      </c>
      <c r="L43" s="9" t="n"/>
      <c r="M43" s="10" t="n"/>
    </row>
    <row r="44">
      <c r="A44" s="1" t="n"/>
      <c r="B44" s="26" t="n"/>
      <c r="D44" s="27" t="n"/>
      <c r="E44" s="26" t="n"/>
      <c r="G44" s="27" t="n"/>
      <c r="H44" s="26" t="n"/>
      <c r="J44" s="27" t="n"/>
      <c r="K44" s="26" t="n"/>
      <c r="M44" s="27" t="n"/>
    </row>
    <row r="45">
      <c r="A45" s="1" t="n"/>
      <c r="B45" s="11" t="n"/>
      <c r="C45" s="12" t="n"/>
      <c r="D45" s="13" t="n"/>
      <c r="E45" s="11" t="n"/>
      <c r="F45" s="12" t="n"/>
      <c r="G45" s="13" t="n"/>
      <c r="H45" s="11" t="n"/>
      <c r="I45" s="12" t="n"/>
      <c r="J45" s="13" t="n"/>
      <c r="K45" s="11" t="n"/>
      <c r="L45" s="12" t="n"/>
      <c r="M45" s="13" t="n"/>
    </row>
    <row r="46">
      <c r="A46" s="1" t="n"/>
      <c r="B46" s="28" t="inlineStr">
        <is>
          <t>Keberanian bicara, tampil, dan membuat konten jadi dasar kenyamanan.</t>
        </is>
      </c>
      <c r="C46" s="9" t="n"/>
      <c r="D46" s="10" t="n"/>
      <c r="E46" s="28" t="inlineStr">
        <is>
          <t>Percakapan, public speaking, GSA, English, dan teknis dilakukan konsisten.</t>
        </is>
      </c>
      <c r="F46" s="9" t="n"/>
      <c r="G46" s="10" t="n"/>
      <c r="H46" s="28" t="inlineStr">
        <is>
          <t>Komunikasi dan teknis mulai menghasilkan output, portfolio, dan kesiapan interview.</t>
        </is>
      </c>
      <c r="I46" s="9" t="n"/>
      <c r="J46" s="10" t="n"/>
      <c r="K46" s="28" t="inlineStr">
        <is>
          <t>Semua kemampuan dipakai di situasi nyata, termasuk finish GSA dan kesiapan karier.</t>
        </is>
      </c>
      <c r="L46" s="9" t="n"/>
      <c r="M46" s="10" t="n"/>
    </row>
    <row r="47">
      <c r="A47" s="1" t="n"/>
      <c r="B47" s="11" t="n"/>
      <c r="C47" s="12" t="n"/>
      <c r="D47" s="13" t="n"/>
      <c r="E47" s="11" t="n"/>
      <c r="F47" s="12" t="n"/>
      <c r="G47" s="13" t="n"/>
      <c r="H47" s="11" t="n"/>
      <c r="I47" s="12" t="n"/>
      <c r="J47" s="13" t="n"/>
      <c r="K47" s="11" t="n"/>
      <c r="L47" s="12" t="n"/>
      <c r="M47" s="13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7" t="inlineStr">
        <is>
          <t>Aturan main</t>
        </is>
      </c>
    </row>
    <row r="50">
      <c r="A50" s="1" t="n"/>
      <c r="B50" s="29" t="inlineStr">
        <is>
          <t>GSA</t>
        </is>
      </c>
      <c r="C50" s="6" t="n"/>
      <c r="D50" s="6" t="n"/>
      <c r="E50" s="7" t="n"/>
      <c r="F50" s="29" t="inlineStr">
        <is>
          <t>Kuliah</t>
        </is>
      </c>
      <c r="G50" s="6" t="n"/>
      <c r="H50" s="6" t="n"/>
      <c r="I50" s="7" t="n"/>
      <c r="J50" s="29" t="inlineStr">
        <is>
          <t>Mental</t>
        </is>
      </c>
      <c r="K50" s="6" t="n"/>
      <c r="L50" s="7" t="n"/>
    </row>
    <row r="51">
      <c r="A51" s="1" t="n"/>
      <c r="B51" s="30" t="inlineStr">
        <is>
          <t>2 konten/minggu. Ranking dan reward adalah bonus.</t>
        </is>
      </c>
      <c r="C51" s="9" t="n"/>
      <c r="D51" s="9" t="n"/>
      <c r="E51" s="10" t="n"/>
      <c r="F51" s="30" t="inlineStr">
        <is>
          <t>Prioritas utama. Jangan dikorbankan demi konten.</t>
        </is>
      </c>
      <c r="G51" s="9" t="n"/>
      <c r="H51" s="9" t="n"/>
      <c r="I51" s="10" t="n"/>
      <c r="J51" s="30" t="inlineStr">
        <is>
          <t>Progres lebih penting dari kesempurnaan.</t>
        </is>
      </c>
      <c r="K51" s="9" t="n"/>
      <c r="L51" s="10" t="n"/>
    </row>
    <row r="52">
      <c r="A52" s="1" t="n"/>
      <c r="B52" s="26" t="n"/>
      <c r="E52" s="27" t="n"/>
      <c r="F52" s="26" t="n"/>
      <c r="I52" s="27" t="n"/>
      <c r="J52" s="26" t="n"/>
      <c r="L52" s="27" t="n"/>
    </row>
    <row r="53">
      <c r="A53" s="1" t="n"/>
      <c r="B53" s="11" t="n"/>
      <c r="C53" s="12" t="n"/>
      <c r="D53" s="12" t="n"/>
      <c r="E53" s="13" t="n"/>
      <c r="F53" s="11" t="n"/>
      <c r="G53" s="12" t="n"/>
      <c r="H53" s="12" t="n"/>
      <c r="I53" s="13" t="n"/>
      <c r="J53" s="11" t="n"/>
      <c r="K53" s="12" t="n"/>
      <c r="L53" s="13" t="n"/>
    </row>
    <row r="54">
      <c r="A54" s="1" t="n"/>
      <c r="B54" s="29" t="inlineStr">
        <is>
          <t>Public speaking</t>
        </is>
      </c>
      <c r="C54" s="6" t="n"/>
      <c r="D54" s="6" t="n"/>
      <c r="E54" s="7" t="n"/>
      <c r="F54" s="29" t="inlineStr">
        <is>
          <t>WPM</t>
        </is>
      </c>
      <c r="G54" s="6" t="n"/>
      <c r="H54" s="6" t="n"/>
      <c r="I54" s="7" t="n"/>
      <c r="J54" s="29" t="inlineStr">
        <is>
          <t>Career</t>
        </is>
      </c>
      <c r="K54" s="6" t="n"/>
      <c r="L54" s="7" t="n"/>
    </row>
    <row r="55">
      <c r="A55" s="1" t="n"/>
      <c r="B55" s="30" t="inlineStr">
        <is>
          <t>Berani → terbiasa → terampil. Anxiety tidak harus 0.</t>
        </is>
      </c>
      <c r="C55" s="9" t="n"/>
      <c r="D55" s="9" t="n"/>
      <c r="E55" s="10" t="n"/>
      <c r="F55" s="30" t="inlineStr">
        <is>
          <t>+10 WPM per bulan. Akurasi tetap penting (≥95%).</t>
        </is>
      </c>
      <c r="G55" s="9" t="n"/>
      <c r="H55" s="9" t="n"/>
      <c r="I55" s="10" t="n"/>
      <c r="J55" s="30" t="inlineStr">
        <is>
          <t>Eksplorasi → aplikasi → seleksi. Bangun CV + portfolio.</t>
        </is>
      </c>
      <c r="K55" s="9" t="n"/>
      <c r="L55" s="10" t="n"/>
    </row>
    <row r="56">
      <c r="A56" s="1" t="n"/>
      <c r="B56" s="26" t="n"/>
      <c r="E56" s="27" t="n"/>
      <c r="F56" s="26" t="n"/>
      <c r="I56" s="27" t="n"/>
      <c r="J56" s="26" t="n"/>
      <c r="L56" s="27" t="n"/>
    </row>
    <row r="57">
      <c r="A57" s="1" t="n"/>
      <c r="B57" s="11" t="n"/>
      <c r="C57" s="12" t="n"/>
      <c r="D57" s="12" t="n"/>
      <c r="E57" s="13" t="n"/>
      <c r="F57" s="11" t="n"/>
      <c r="G57" s="12" t="n"/>
      <c r="H57" s="12" t="n"/>
      <c r="I57" s="13" t="n"/>
      <c r="J57" s="11" t="n"/>
      <c r="K57" s="12" t="n"/>
      <c r="L57" s="13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</sheetData>
  <mergeCells count="72">
    <mergeCell ref="B4:L4"/>
    <mergeCell ref="E13:G13"/>
    <mergeCell ref="E41:G42"/>
    <mergeCell ref="K10:M11"/>
    <mergeCell ref="K7:M8"/>
    <mergeCell ref="H36:I37"/>
    <mergeCell ref="K40:M40"/>
    <mergeCell ref="B3:L3"/>
    <mergeCell ref="B34:C35"/>
    <mergeCell ref="B13:D13"/>
    <mergeCell ref="E9:G9"/>
    <mergeCell ref="E40:G40"/>
    <mergeCell ref="B55:E57"/>
    <mergeCell ref="K12:M12"/>
    <mergeCell ref="J55:L57"/>
    <mergeCell ref="B7:D8"/>
    <mergeCell ref="E6:G6"/>
    <mergeCell ref="K43:M45"/>
    <mergeCell ref="B36:C37"/>
    <mergeCell ref="J54:L54"/>
    <mergeCell ref="B41:D42"/>
    <mergeCell ref="H10:J11"/>
    <mergeCell ref="B50:E50"/>
    <mergeCell ref="H13:J13"/>
    <mergeCell ref="B39:L39"/>
    <mergeCell ref="B51:E53"/>
    <mergeCell ref="J31:L31"/>
    <mergeCell ref="B2:L2"/>
    <mergeCell ref="B9:D9"/>
    <mergeCell ref="B40:D40"/>
    <mergeCell ref="B54:E54"/>
    <mergeCell ref="F54:I54"/>
    <mergeCell ref="H12:J12"/>
    <mergeCell ref="B15:D15"/>
    <mergeCell ref="J50:L50"/>
    <mergeCell ref="J34:L35"/>
    <mergeCell ref="B6:D6"/>
    <mergeCell ref="B46:D47"/>
    <mergeCell ref="H41:J42"/>
    <mergeCell ref="E10:G11"/>
    <mergeCell ref="K41:M42"/>
    <mergeCell ref="D34:E35"/>
    <mergeCell ref="K6:M6"/>
    <mergeCell ref="K13:M13"/>
    <mergeCell ref="F34:G35"/>
    <mergeCell ref="E12:G12"/>
    <mergeCell ref="F55:I57"/>
    <mergeCell ref="E43:G45"/>
    <mergeCell ref="H46:J47"/>
    <mergeCell ref="J51:L53"/>
    <mergeCell ref="F36:G37"/>
    <mergeCell ref="J36:L37"/>
    <mergeCell ref="H7:J8"/>
    <mergeCell ref="B49:L49"/>
    <mergeCell ref="F50:I50"/>
    <mergeCell ref="B10:D11"/>
    <mergeCell ref="E46:G47"/>
    <mergeCell ref="K46:M47"/>
    <mergeCell ref="K9:M9"/>
    <mergeCell ref="B33:L33"/>
    <mergeCell ref="J15:L15"/>
    <mergeCell ref="F51:I53"/>
    <mergeCell ref="D36:E37"/>
    <mergeCell ref="H40:J40"/>
    <mergeCell ref="H9:J9"/>
    <mergeCell ref="H34:I35"/>
    <mergeCell ref="H43:J45"/>
    <mergeCell ref="B12:D12"/>
    <mergeCell ref="F15:H15"/>
    <mergeCell ref="B43:D45"/>
    <mergeCell ref="E7:G8"/>
    <mergeCell ref="H6:J6"/>
  </mergeCells>
  <pageMargins left="0.4" right="0.4" top="0.5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4A42"/>
    <outlinePr summaryBelow="1" summaryRight="1"/>
    <pageSetUpPr fitToPage="1"/>
  </sheetPr>
  <dimension ref="A1:J10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0" customWidth="1" min="2" max="2"/>
    <col width="34" customWidth="1" min="3" max="3"/>
    <col width="40" customWidth="1" min="4" max="4"/>
    <col width="40" customWidth="1" min="5" max="5"/>
    <col width="12" customWidth="1" min="6" max="6"/>
    <col width="14" customWidth="1" min="7" max="7"/>
    <col width="12" customWidth="1" min="8" max="8"/>
    <col width="24" customWidth="1" min="9" max="9"/>
    <col width="18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3" t="inlineStr">
        <is>
          <t>4 BLOK BULAN  ·  sumber data achievement</t>
        </is>
      </c>
      <c r="J2" s="1" t="n"/>
    </row>
    <row r="3">
      <c r="A3" s="4" t="inlineStr">
        <is>
          <t>Isi kolom Progress (0–100) atau biarkan rumus otomatis (WPM/GSA). Status terhitung dari Progress. Ringkasan, pie, dan sheet lain membaca sheet ini.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26" customHeight="1">
      <c r="A5" s="31" t="inlineStr">
        <is>
          <t>OKTOBER 2026    ·    BERANI MEMULAI    ·    Public speaking + social openness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7" t="n"/>
    </row>
    <row r="6">
      <c r="A6" s="32" t="inlineStr">
        <is>
          <t>Bulan</t>
        </is>
      </c>
      <c r="B6" s="32" t="inlineStr">
        <is>
          <t>Jalur</t>
        </is>
      </c>
      <c r="C6" s="32" t="inlineStr">
        <is>
          <t>Pencapaian</t>
        </is>
      </c>
      <c r="D6" s="32" t="inlineStr">
        <is>
          <t>Target akhir bulan</t>
        </is>
      </c>
      <c r="E6" s="32" t="inlineStr">
        <is>
          <t>Indikator</t>
        </is>
      </c>
      <c r="F6" s="32" t="inlineStr">
        <is>
          <t>Prioritas</t>
        </is>
      </c>
      <c r="G6" s="32" t="inlineStr">
        <is>
          <t>Status</t>
        </is>
      </c>
      <c r="H6" s="32" t="inlineStr">
        <is>
          <t>Progress</t>
        </is>
      </c>
      <c r="I6" s="32" t="inlineStr">
        <is>
          <t>Catatan</t>
        </is>
      </c>
      <c r="J6" s="32" t="inlineStr">
        <is>
          <t>Sumber rumus</t>
        </is>
      </c>
    </row>
    <row r="7" ht="44" customHeight="1">
      <c r="A7" s="33" t="inlineStr">
        <is>
          <t>Okt</t>
        </is>
      </c>
      <c r="B7" s="34" t="inlineStr">
        <is>
          <t>Communication</t>
        </is>
      </c>
      <c r="C7" s="34" t="inlineStr">
        <is>
          <t>Public speaking — berani bicara</t>
        </is>
      </c>
      <c r="D7" s="34" t="inlineStr">
        <is>
          <t>Berani menyampaikan pendapat dan berbicara 1–3 menit meskipun masih gugup</t>
        </is>
      </c>
      <c r="E7" s="34" t="inlineStr">
        <is>
          <t>Tidak menghindari kesempatan bicara; minimal 1 sesi latihan/minggu</t>
        </is>
      </c>
      <c r="F7" s="35" t="inlineStr">
        <is>
          <t>Utama</t>
        </is>
      </c>
      <c r="G7" s="36">
        <f>IF(H7&gt;=100,"Selesai",IF(H7&gt;0,"Jalan","Belum"))</f>
        <v/>
      </c>
      <c r="H7" s="37" t="n">
        <v>0</v>
      </c>
      <c r="I7" s="38" t="inlineStr"/>
      <c r="J7" s="39" t="inlineStr">
        <is>
          <t>input manual</t>
        </is>
      </c>
    </row>
    <row r="8" ht="44" customHeight="1">
      <c r="A8" s="15" t="inlineStr">
        <is>
          <t>Okt</t>
        </is>
      </c>
      <c r="B8" s="25" t="inlineStr">
        <is>
          <t>Social &amp; Mindset</t>
        </is>
      </c>
      <c r="C8" s="25" t="inlineStr">
        <is>
          <t>Banyakin senyum &amp; ekspresi ramah</t>
        </is>
      </c>
      <c r="D8" s="25" t="inlineStr">
        <is>
          <t>Lebih sering menunjukkan ekspresi ramah saat bertemu/berbicara</t>
        </is>
      </c>
      <c r="E8" s="25" t="inlineStr">
        <is>
          <t>Lebih sering tersenyum dan membuka interaksi</t>
        </is>
      </c>
      <c r="F8" s="15" t="inlineStr">
        <is>
          <t>Sedang</t>
        </is>
      </c>
      <c r="G8" s="36">
        <f>IF(H8&gt;=100,"Selesai",IF(H8&gt;0,"Jalan","Belum"))</f>
        <v/>
      </c>
      <c r="H8" s="40" t="n">
        <v>0</v>
      </c>
      <c r="I8" s="41" t="inlineStr"/>
      <c r="J8" s="42" t="inlineStr">
        <is>
          <t>input manual</t>
        </is>
      </c>
    </row>
    <row r="9" ht="44" customHeight="1">
      <c r="A9" s="33" t="inlineStr">
        <is>
          <t>Okt</t>
        </is>
      </c>
      <c r="B9" s="34" t="inlineStr">
        <is>
          <t>Social &amp; Mindset</t>
        </is>
      </c>
      <c r="C9" s="34" t="inlineStr">
        <is>
          <t>Lebih terbuka dengan orang lain</t>
        </is>
      </c>
      <c r="D9" s="34" t="inlineStr">
        <is>
          <t>Mulai sengaja membuka percakapan beberapa kali dalam seminggu</t>
        </is>
      </c>
      <c r="E9" s="34" t="inlineStr">
        <is>
          <t>Ada inisiatif menyapa/bertanya tanpa selalu menunggu</t>
        </is>
      </c>
      <c r="F9" s="35" t="inlineStr">
        <is>
          <t>Utama</t>
        </is>
      </c>
      <c r="G9" s="36">
        <f>IF(H9&gt;=100,"Selesai",IF(H9&gt;0,"Jalan","Belum"))</f>
        <v/>
      </c>
      <c r="H9" s="37" t="n">
        <v>0</v>
      </c>
      <c r="I9" s="38" t="inlineStr"/>
      <c r="J9" s="39" t="inlineStr">
        <is>
          <t>input manual</t>
        </is>
      </c>
    </row>
    <row r="10" ht="44" customHeight="1">
      <c r="A10" s="33" t="inlineStr">
        <is>
          <t>Okt</t>
        </is>
      </c>
      <c r="B10" s="34" t="inlineStr">
        <is>
          <t>Social &amp; Mindset</t>
        </is>
      </c>
      <c r="C10" s="34" t="inlineStr">
        <is>
          <t>Kurangi self-judgment</t>
        </is>
      </c>
      <c r="D10" s="34" t="inlineStr">
        <is>
          <t>Menyadari saat mulai menghakimi diri dan menggantinya dengan evaluasi</t>
        </is>
      </c>
      <c r="E10" s="34" t="inlineStr">
        <is>
          <t>Menulis apa yang terjadi dan apa yang bisa diperbaiki, tanpa label negatif</t>
        </is>
      </c>
      <c r="F10" s="35" t="inlineStr">
        <is>
          <t>Utama</t>
        </is>
      </c>
      <c r="G10" s="36">
        <f>IF(H10&gt;=100,"Selesai",IF(H10&gt;0,"Jalan","Belum"))</f>
        <v/>
      </c>
      <c r="H10" s="37" t="n">
        <v>0</v>
      </c>
      <c r="I10" s="38" t="inlineStr"/>
      <c r="J10" s="39" t="inlineStr">
        <is>
          <t>input manual</t>
        </is>
      </c>
    </row>
    <row r="11" ht="44" customHeight="1">
      <c r="A11" s="33" t="inlineStr">
        <is>
          <t>Okt</t>
        </is>
      </c>
      <c r="B11" s="34" t="inlineStr">
        <is>
          <t>GSA &amp; Content</t>
        </is>
      </c>
      <c r="C11" s="34" t="inlineStr">
        <is>
          <t>Adaptasi GSA</t>
        </is>
      </c>
      <c r="D11" s="34" t="inlineStr">
        <is>
          <t>Memahami ritme GSA dan mengikuti kegiatan yang diperlukan</t>
        </is>
      </c>
      <c r="E11" s="34" t="inlineStr">
        <is>
          <t>Meeting/briefing penting diikuti; alur kerja dipahami</t>
        </is>
      </c>
      <c r="F11" s="35" t="inlineStr">
        <is>
          <t>Utama</t>
        </is>
      </c>
      <c r="G11" s="36">
        <f>IF(H11&gt;=100,"Selesai",IF(H11&gt;0,"Jalan","Belum"))</f>
        <v/>
      </c>
      <c r="H11" s="37" t="n">
        <v>0</v>
      </c>
      <c r="I11" s="38" t="inlineStr"/>
      <c r="J11" s="39" t="inlineStr">
        <is>
          <t>input manual</t>
        </is>
      </c>
    </row>
    <row r="12" ht="44" customHeight="1">
      <c r="A12" s="33" t="inlineStr">
        <is>
          <t>Okt</t>
        </is>
      </c>
      <c r="B12" s="34" t="inlineStr">
        <is>
          <t>GSA &amp; Content</t>
        </is>
      </c>
      <c r="C12" s="34" t="inlineStr">
        <is>
          <t>Konsisten membuat konten</t>
        </is>
      </c>
      <c r="D12" s="34" t="inlineStr">
        <is>
          <t>2 konten per minggu tanpa mengorbankan kuliah dan kesehatan</t>
        </is>
      </c>
      <c r="E12" s="34" t="inlineStr">
        <is>
          <t>Jumlah konten mingguan tercapai secara realistis</t>
        </is>
      </c>
      <c r="F12" s="35" t="inlineStr">
        <is>
          <t>Utama</t>
        </is>
      </c>
      <c r="G12" s="36">
        <f>IF(H12&gt;=100,"Selesai",IF(H12&gt;0,"Jalan","Belum"))</f>
        <v/>
      </c>
      <c r="H12" s="43">
        <f>IFERROR(MIN(100,SUM(GSA!D6:D10)/10*100),0)</f>
        <v/>
      </c>
      <c r="I12" s="38" t="inlineStr"/>
      <c r="J12" s="44" t="inlineStr">
        <is>
          <t>GSA!D6:D10 / 10</t>
        </is>
      </c>
    </row>
    <row r="13" ht="44" customHeight="1">
      <c r="A13" s="15" t="inlineStr">
        <is>
          <t>Okt</t>
        </is>
      </c>
      <c r="B13" s="25" t="inlineStr">
        <is>
          <t>English</t>
        </is>
      </c>
      <c r="C13" s="25" t="inlineStr">
        <is>
          <t>Fondasi bahasa Inggris</t>
        </is>
      </c>
      <c r="D13" s="25" t="inlineStr">
        <is>
          <t>Menyelesaikan bagian awal buku dan mulai speaking/listening</t>
        </is>
      </c>
      <c r="E13" s="25" t="inlineStr">
        <is>
          <t>Mampu melakukan percakapan sederhana</t>
        </is>
      </c>
      <c r="F13" s="15" t="inlineStr">
        <is>
          <t>Sedang</t>
        </is>
      </c>
      <c r="G13" s="36">
        <f>IF(H13&gt;=100,"Selesai",IF(H13&gt;0,"Jalan","Belum"))</f>
        <v/>
      </c>
      <c r="H13" s="40" t="n">
        <v>0</v>
      </c>
      <c r="I13" s="41" t="inlineStr"/>
      <c r="J13" s="42" t="inlineStr">
        <is>
          <t>input manual</t>
        </is>
      </c>
    </row>
    <row r="14" ht="44" customHeight="1">
      <c r="A14" s="33" t="inlineStr">
        <is>
          <t>Okt</t>
        </is>
      </c>
      <c r="B14" s="34" t="inlineStr">
        <is>
          <t>Technical</t>
        </is>
      </c>
      <c r="C14" s="34" t="inlineStr">
        <is>
          <t>Excel &amp; statistik dasar</t>
        </is>
      </c>
      <c r="D14" s="34" t="inlineStr">
        <is>
          <t>Memahami dasar Excel dan statistik untuk analisis data</t>
        </is>
      </c>
      <c r="E14" s="34" t="inlineStr">
        <is>
          <t>Bisa memakai formula dasar, filter/sort, dan statistik dasar</t>
        </is>
      </c>
      <c r="F14" s="35" t="inlineStr">
        <is>
          <t>Utama</t>
        </is>
      </c>
      <c r="G14" s="36">
        <f>IF(H14&gt;=100,"Selesai",IF(H14&gt;0,"Jalan","Belum"))</f>
        <v/>
      </c>
      <c r="H14" s="37" t="n">
        <v>0</v>
      </c>
      <c r="I14" s="38" t="inlineStr"/>
      <c r="J14" s="39" t="inlineStr">
        <is>
          <t>input manual</t>
        </is>
      </c>
    </row>
    <row r="15" ht="44" customHeight="1">
      <c r="A15" s="15" t="inlineStr">
        <is>
          <t>Okt</t>
        </is>
      </c>
      <c r="B15" s="25" t="inlineStr">
        <is>
          <t>Technical</t>
        </is>
      </c>
      <c r="C15" s="25" t="inlineStr">
        <is>
          <t>Typing 60 WPM</t>
        </is>
      </c>
      <c r="D15" s="25" t="inlineStr">
        <is>
          <t>60 WPM dengan akurasi baik</t>
        </is>
      </c>
      <c r="E15" s="25" t="inlineStr">
        <is>
          <t>Mencapai 60 WPM secara konsisten</t>
        </is>
      </c>
      <c r="F15" s="15" t="inlineStr">
        <is>
          <t>Sedang</t>
        </is>
      </c>
      <c r="G15" s="36">
        <f>IF(H15&gt;=100,"Selesai",IF(H15&gt;0,"Jalan","Belum"))</f>
        <v/>
      </c>
      <c r="H15" s="43">
        <f>IFERROR(MIN(100,N(WPM!D6)/60*100),0)</f>
        <v/>
      </c>
      <c r="I15" s="41" t="inlineStr"/>
      <c r="J15" s="44" t="inlineStr">
        <is>
          <t>WPM!D6 / 60</t>
        </is>
      </c>
    </row>
    <row r="16" ht="44" customHeight="1">
      <c r="A16" s="33" t="inlineStr">
        <is>
          <t>Okt</t>
        </is>
      </c>
      <c r="B16" s="34" t="inlineStr">
        <is>
          <t>Career</t>
        </is>
      </c>
      <c r="C16" s="34" t="inlineStr">
        <is>
          <t>Eksplorasi magang</t>
        </is>
      </c>
      <c r="D16" s="34" t="inlineStr">
        <is>
          <t>Menentukan bidang dan daftar target magang; siapkan CV/dokumen</t>
        </is>
      </c>
      <c r="E16" s="34" t="inlineStr">
        <is>
          <t>Daftar target + CV awal siap</t>
        </is>
      </c>
      <c r="F16" s="35" t="inlineStr">
        <is>
          <t>Utama</t>
        </is>
      </c>
      <c r="G16" s="36">
        <f>IF(H16&gt;=100,"Selesai",IF(H16&gt;0,"Jalan","Belum"))</f>
        <v/>
      </c>
      <c r="H16" s="37" t="n">
        <v>0</v>
      </c>
      <c r="I16" s="38" t="inlineStr"/>
      <c r="J16" s="39" t="inlineStr">
        <is>
          <t>input manual</t>
        </is>
      </c>
    </row>
    <row r="17" ht="44" customHeight="1">
      <c r="A17" s="33" t="inlineStr">
        <is>
          <t>Okt</t>
        </is>
      </c>
      <c r="B17" s="34" t="inlineStr">
        <is>
          <t>Academic</t>
        </is>
      </c>
      <c r="C17" s="34" t="inlineStr">
        <is>
          <t>Sistem kuliah</t>
        </is>
      </c>
      <c r="D17" s="34" t="inlineStr">
        <is>
          <t>Catatan lebih rapi dan materi penting tersimpan di Google Drive</t>
        </is>
      </c>
      <c r="E17" s="34" t="inlineStr">
        <is>
          <t>Catatan mingguan dan file materi terdokumentasi</t>
        </is>
      </c>
      <c r="F17" s="35" t="inlineStr">
        <is>
          <t>Utama</t>
        </is>
      </c>
      <c r="G17" s="36">
        <f>IF(H17&gt;=100,"Selesai",IF(H17&gt;0,"Jalan","Belum"))</f>
        <v/>
      </c>
      <c r="H17" s="37" t="n">
        <v>0</v>
      </c>
      <c r="I17" s="38" t="inlineStr"/>
      <c r="J17" s="39" t="inlineStr">
        <is>
          <t>input manual</t>
        </is>
      </c>
    </row>
    <row r="18" ht="24" customHeight="1">
      <c r="A18" s="45" t="inlineStr">
        <is>
          <t>Ringkasan Oktober 2026</t>
        </is>
      </c>
      <c r="B18" s="6" t="n"/>
      <c r="C18" s="6" t="n"/>
      <c r="D18" s="6" t="n"/>
      <c r="E18" s="6" t="n"/>
      <c r="F18" s="7" t="n"/>
      <c r="G18" s="46">
        <f>COUNTIF(G7:G17,"Selesai")&amp;" selesai / "&amp;COUNTA(A7:A17)</f>
        <v/>
      </c>
      <c r="H18" s="47">
        <f>IFERROR(AVERAGE(H7:H17)/100,0)</f>
        <v/>
      </c>
      <c r="I18" s="48" t="inlineStr"/>
      <c r="J18" s="49" t="inlineStr">
        <is>
          <t>G7:H17</t>
        </is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26" customHeight="1">
      <c r="A20" s="31" t="inlineStr">
        <is>
          <t>NOVEMBER 2026    ·    MULAI TERBIASA    ·    Conversation + GSA consistency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</row>
    <row r="21">
      <c r="A21" s="32" t="inlineStr">
        <is>
          <t>Bulan</t>
        </is>
      </c>
      <c r="B21" s="32" t="inlineStr">
        <is>
          <t>Jalur</t>
        </is>
      </c>
      <c r="C21" s="32" t="inlineStr">
        <is>
          <t>Pencapaian</t>
        </is>
      </c>
      <c r="D21" s="32" t="inlineStr">
        <is>
          <t>Target akhir bulan</t>
        </is>
      </c>
      <c r="E21" s="32" t="inlineStr">
        <is>
          <t>Indikator</t>
        </is>
      </c>
      <c r="F21" s="32" t="inlineStr">
        <is>
          <t>Prioritas</t>
        </is>
      </c>
      <c r="G21" s="32" t="inlineStr">
        <is>
          <t>Status</t>
        </is>
      </c>
      <c r="H21" s="32" t="inlineStr">
        <is>
          <t>Progress</t>
        </is>
      </c>
      <c r="I21" s="32" t="inlineStr">
        <is>
          <t>Catatan</t>
        </is>
      </c>
      <c r="J21" s="32" t="inlineStr">
        <is>
          <t>Sumber rumus</t>
        </is>
      </c>
    </row>
    <row r="22" ht="44" customHeight="1">
      <c r="A22" s="33" t="inlineStr">
        <is>
          <t>Nov</t>
        </is>
      </c>
      <c r="B22" s="34" t="inlineStr">
        <is>
          <t>Communication</t>
        </is>
      </c>
      <c r="C22" s="34" t="inlineStr">
        <is>
          <t>Public speaking — nyaman</t>
        </is>
      </c>
      <c r="D22" s="34" t="inlineStr">
        <is>
          <t>Presentasi 3–5 menit dan mulai improvisasi tanpa teks penuh</t>
        </is>
      </c>
      <c r="E22" s="34" t="inlineStr">
        <is>
          <t>Bisa berbicara dengan struktur sederhana dan tidak cepat blank</t>
        </is>
      </c>
      <c r="F22" s="35" t="inlineStr">
        <is>
          <t>Utama</t>
        </is>
      </c>
      <c r="G22" s="36">
        <f>IF(H22&gt;=100,"Selesai",IF(H22&gt;0,"Jalan","Belum"))</f>
        <v/>
      </c>
      <c r="H22" s="37" t="n">
        <v>0</v>
      </c>
      <c r="I22" s="38" t="inlineStr"/>
      <c r="J22" s="39" t="inlineStr">
        <is>
          <t>input manual</t>
        </is>
      </c>
    </row>
    <row r="23" ht="44" customHeight="1">
      <c r="A23" s="33" t="inlineStr">
        <is>
          <t>Nov</t>
        </is>
      </c>
      <c r="B23" s="34" t="inlineStr">
        <is>
          <t>Social &amp; Mindset</t>
        </is>
      </c>
      <c r="C23" s="34" t="inlineStr">
        <is>
          <t>Mempertahankan percakapan</t>
        </is>
      </c>
      <c r="D23" s="34" t="inlineStr">
        <is>
          <t>Mampu melanjutkan percakapan dan lebih aktif bertanya</t>
        </is>
      </c>
      <c r="E23" s="34" t="inlineStr">
        <is>
          <t>Tidak cepat mengakhiri interaksi karena overthinking</t>
        </is>
      </c>
      <c r="F23" s="35" t="inlineStr">
        <is>
          <t>Utama</t>
        </is>
      </c>
      <c r="G23" s="36">
        <f>IF(H23&gt;=100,"Selesai",IF(H23&gt;0,"Jalan","Belum"))</f>
        <v/>
      </c>
      <c r="H23" s="37" t="n">
        <v>0</v>
      </c>
      <c r="I23" s="38" t="inlineStr"/>
      <c r="J23" s="39" t="inlineStr">
        <is>
          <t>input manual</t>
        </is>
      </c>
    </row>
    <row r="24" ht="44" customHeight="1">
      <c r="A24" s="33" t="inlineStr">
        <is>
          <t>Nov</t>
        </is>
      </c>
      <c r="B24" s="34" t="inlineStr">
        <is>
          <t>Social &amp; Mindset</t>
        </is>
      </c>
      <c r="C24" s="34" t="inlineStr">
        <is>
          <t>Self-judgment → evaluasi</t>
        </is>
      </c>
      <c r="D24" s="34" t="inlineStr">
        <is>
          <t>Membedakan 'aku melakukan kesalahan' dari 'aku gagal'</t>
        </is>
      </c>
      <c r="E24" s="34" t="inlineStr">
        <is>
          <t>Kesalahan sosial dinilai sebagai data untuk perbaikan</t>
        </is>
      </c>
      <c r="F24" s="35" t="inlineStr">
        <is>
          <t>Utama</t>
        </is>
      </c>
      <c r="G24" s="36">
        <f>IF(H24&gt;=100,"Selesai",IF(H24&gt;0,"Jalan","Belum"))</f>
        <v/>
      </c>
      <c r="H24" s="37" t="n">
        <v>0</v>
      </c>
      <c r="I24" s="38" t="inlineStr"/>
      <c r="J24" s="39" t="inlineStr">
        <is>
          <t>input manual</t>
        </is>
      </c>
    </row>
    <row r="25" ht="44" customHeight="1">
      <c r="A25" s="33" t="inlineStr">
        <is>
          <t>Nov</t>
        </is>
      </c>
      <c r="B25" s="34" t="inlineStr">
        <is>
          <t>GSA &amp; Content</t>
        </is>
      </c>
      <c r="C25" s="34" t="inlineStr">
        <is>
          <t>Konsistensi &amp; gaya konten</t>
        </is>
      </c>
      <c r="D25" s="34" t="inlineStr">
        <is>
          <t>2 konten per minggu dan mulai menemukan gaya komunikasi</t>
        </is>
      </c>
      <c r="E25" s="34" t="inlineStr">
        <is>
          <t>Punya bank ide dan beberapa format yang konsisten</t>
        </is>
      </c>
      <c r="F25" s="35" t="inlineStr">
        <is>
          <t>Utama</t>
        </is>
      </c>
      <c r="G25" s="36">
        <f>IF(H25&gt;=100,"Selesai",IF(H25&gt;0,"Jalan","Belum"))</f>
        <v/>
      </c>
      <c r="H25" s="43">
        <f>IFERROR(MIN(100,SUM(GSA!D11:D14)/8*100),0)</f>
        <v/>
      </c>
      <c r="I25" s="38" t="inlineStr"/>
      <c r="J25" s="44" t="inlineStr">
        <is>
          <t>GSA!D11:D14 / 8</t>
        </is>
      </c>
    </row>
    <row r="26" ht="44" customHeight="1">
      <c r="A26" s="15" t="inlineStr">
        <is>
          <t>Nov</t>
        </is>
      </c>
      <c r="B26" s="25" t="inlineStr">
        <is>
          <t>English</t>
        </is>
      </c>
      <c r="C26" s="25" t="inlineStr">
        <is>
          <t>Percakapan sehari-hari</t>
        </is>
      </c>
      <c r="D26" s="25" t="inlineStr">
        <is>
          <t>Lebih lancar dalam speaking/listening</t>
        </is>
      </c>
      <c r="E26" s="25" t="inlineStr">
        <is>
          <t>Tidak terlalu sering menerjemahkan setiap kalimat di kepala</t>
        </is>
      </c>
      <c r="F26" s="15" t="inlineStr">
        <is>
          <t>Sedang</t>
        </is>
      </c>
      <c r="G26" s="36">
        <f>IF(H26&gt;=100,"Selesai",IF(H26&gt;0,"Jalan","Belum"))</f>
        <v/>
      </c>
      <c r="H26" s="40" t="n">
        <v>0</v>
      </c>
      <c r="I26" s="41" t="inlineStr"/>
      <c r="J26" s="42" t="inlineStr">
        <is>
          <t>input manual</t>
        </is>
      </c>
    </row>
    <row r="27" ht="44" customHeight="1">
      <c r="A27" s="33" t="inlineStr">
        <is>
          <t>Nov</t>
        </is>
      </c>
      <c r="B27" s="34" t="inlineStr">
        <is>
          <t>Technical</t>
        </is>
      </c>
      <c r="C27" s="34" t="inlineStr">
        <is>
          <t>Excel menengah + SQL dasar</t>
        </is>
      </c>
      <c r="D27" s="34" t="inlineStr">
        <is>
          <t>PivotTable, formula penting, visualisasi; SQL SELECT/WHERE/GROUP BY/JOIN</t>
        </is>
      </c>
      <c r="E27" s="34" t="inlineStr">
        <is>
          <t>Bisa mengerjakan kasus data sederhana</t>
        </is>
      </c>
      <c r="F27" s="35" t="inlineStr">
        <is>
          <t>Utama</t>
        </is>
      </c>
      <c r="G27" s="36">
        <f>IF(H27&gt;=100,"Selesai",IF(H27&gt;0,"Jalan","Belum"))</f>
        <v/>
      </c>
      <c r="H27" s="37" t="n">
        <v>0</v>
      </c>
      <c r="I27" s="38" t="inlineStr"/>
      <c r="J27" s="39" t="inlineStr">
        <is>
          <t>input manual</t>
        </is>
      </c>
    </row>
    <row r="28" ht="44" customHeight="1">
      <c r="A28" s="15" t="inlineStr">
        <is>
          <t>Nov</t>
        </is>
      </c>
      <c r="B28" s="25" t="inlineStr">
        <is>
          <t>Technical</t>
        </is>
      </c>
      <c r="C28" s="25" t="inlineStr">
        <is>
          <t>Typing 70 WPM</t>
        </is>
      </c>
      <c r="D28" s="25" t="inlineStr">
        <is>
          <t>70 WPM dengan akurasi baik</t>
        </is>
      </c>
      <c r="E28" s="25" t="inlineStr">
        <is>
          <t>Mencapai 70 WPM secara konsisten</t>
        </is>
      </c>
      <c r="F28" s="15" t="inlineStr">
        <is>
          <t>Sedang</t>
        </is>
      </c>
      <c r="G28" s="36">
        <f>IF(H28&gt;=100,"Selesai",IF(H28&gt;0,"Jalan","Belum"))</f>
        <v/>
      </c>
      <c r="H28" s="43">
        <f>IFERROR(MIN(100,N(WPM!D7)/70*100),0)</f>
        <v/>
      </c>
      <c r="I28" s="41" t="inlineStr"/>
      <c r="J28" s="44" t="inlineStr">
        <is>
          <t>WPM!D7 / 70</t>
        </is>
      </c>
    </row>
    <row r="29" ht="44" customHeight="1">
      <c r="A29" s="33" t="inlineStr">
        <is>
          <t>Nov</t>
        </is>
      </c>
      <c r="B29" s="34" t="inlineStr">
        <is>
          <t>Career</t>
        </is>
      </c>
      <c r="C29" s="34" t="inlineStr">
        <is>
          <t>Mulai mendaftar magang</t>
        </is>
      </c>
      <c r="D29" s="34" t="inlineStr">
        <is>
          <t>CV final dan beberapa lamaran terkirim</t>
        </is>
      </c>
      <c r="E29" s="34" t="inlineStr">
        <is>
          <t>Ada bukti aplikasi yang dikirim</t>
        </is>
      </c>
      <c r="F29" s="35" t="inlineStr">
        <is>
          <t>Utama</t>
        </is>
      </c>
      <c r="G29" s="36">
        <f>IF(H29&gt;=100,"Selesai",IF(H29&gt;0,"Jalan","Belum"))</f>
        <v/>
      </c>
      <c r="H29" s="37" t="n">
        <v>0</v>
      </c>
      <c r="I29" s="38" t="inlineStr"/>
      <c r="J29" s="39" t="inlineStr">
        <is>
          <t>input manual</t>
        </is>
      </c>
    </row>
    <row r="30" ht="44" customHeight="1">
      <c r="A30" s="15" t="inlineStr">
        <is>
          <t>Nov</t>
        </is>
      </c>
      <c r="B30" s="25" t="inlineStr">
        <is>
          <t>Technical</t>
        </is>
      </c>
      <c r="C30" s="25" t="inlineStr">
        <is>
          <t>Digital product</t>
        </is>
      </c>
      <c r="D30" s="25" t="inlineStr">
        <is>
          <t>Menyelesaikan 1 digital product sederhana</t>
        </is>
      </c>
      <c r="E30" s="25" t="inlineStr">
        <is>
          <t>Ada versi yang dapat ditunjukkan/didemokan</t>
        </is>
      </c>
      <c r="F30" s="15" t="inlineStr">
        <is>
          <t>Sedang</t>
        </is>
      </c>
      <c r="G30" s="36">
        <f>IF(H30&gt;=100,"Selesai",IF(H30&gt;0,"Jalan","Belum"))</f>
        <v/>
      </c>
      <c r="H30" s="40" t="n">
        <v>0</v>
      </c>
      <c r="I30" s="41" t="inlineStr"/>
      <c r="J30" s="42" t="inlineStr">
        <is>
          <t>input manual</t>
        </is>
      </c>
    </row>
    <row r="31" ht="24" customHeight="1">
      <c r="A31" s="45" t="inlineStr">
        <is>
          <t>Ringkasan November 2026</t>
        </is>
      </c>
      <c r="B31" s="6" t="n"/>
      <c r="C31" s="6" t="n"/>
      <c r="D31" s="6" t="n"/>
      <c r="E31" s="6" t="n"/>
      <c r="F31" s="7" t="n"/>
      <c r="G31" s="46">
        <f>COUNTIF(G22:G30,"Selesai")&amp;" selesai / "&amp;COUNTA(A22:A30)</f>
        <v/>
      </c>
      <c r="H31" s="47">
        <f>IFERROR(AVERAGE(H22:H30)/100,0)</f>
        <v/>
      </c>
      <c r="I31" s="48" t="inlineStr"/>
      <c r="J31" s="49" t="inlineStr">
        <is>
          <t>G22:H30</t>
        </is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6" customHeight="1">
      <c r="A33" s="31" t="inlineStr">
        <is>
          <t>DESEMBER 2026    ·    MENJADI TERAMPIL    ·    Public speaking + technical output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</row>
    <row r="34">
      <c r="A34" s="32" t="inlineStr">
        <is>
          <t>Bulan</t>
        </is>
      </c>
      <c r="B34" s="32" t="inlineStr">
        <is>
          <t>Jalur</t>
        </is>
      </c>
      <c r="C34" s="32" t="inlineStr">
        <is>
          <t>Pencapaian</t>
        </is>
      </c>
      <c r="D34" s="32" t="inlineStr">
        <is>
          <t>Target akhir bulan</t>
        </is>
      </c>
      <c r="E34" s="32" t="inlineStr">
        <is>
          <t>Indikator</t>
        </is>
      </c>
      <c r="F34" s="32" t="inlineStr">
        <is>
          <t>Prioritas</t>
        </is>
      </c>
      <c r="G34" s="32" t="inlineStr">
        <is>
          <t>Status</t>
        </is>
      </c>
      <c r="H34" s="32" t="inlineStr">
        <is>
          <t>Progress</t>
        </is>
      </c>
      <c r="I34" s="32" t="inlineStr">
        <is>
          <t>Catatan</t>
        </is>
      </c>
      <c r="J34" s="32" t="inlineStr">
        <is>
          <t>Sumber rumus</t>
        </is>
      </c>
    </row>
    <row r="35" ht="44" customHeight="1">
      <c r="A35" s="33" t="inlineStr">
        <is>
          <t>Des</t>
        </is>
      </c>
      <c r="B35" s="34" t="inlineStr">
        <is>
          <t>Communication</t>
        </is>
      </c>
      <c r="C35" s="34" t="inlineStr">
        <is>
          <t>Public speaking — terampil</t>
        </is>
      </c>
      <c r="D35" s="34" t="inlineStr">
        <is>
          <t>Presentasi 5–10 menit, runtut, minim ketergantungan pada teks</t>
        </is>
      </c>
      <c r="E35" s="34" t="inlineStr">
        <is>
          <t>Bisa menjelaskan dan merespons pertanyaan lebih stabil</t>
        </is>
      </c>
      <c r="F35" s="35" t="inlineStr">
        <is>
          <t>Utama</t>
        </is>
      </c>
      <c r="G35" s="36">
        <f>IF(H35&gt;=100,"Selesai",IF(H35&gt;0,"Jalan","Belum"))</f>
        <v/>
      </c>
      <c r="H35" s="37" t="n">
        <v>0</v>
      </c>
      <c r="I35" s="38" t="inlineStr"/>
      <c r="J35" s="39" t="inlineStr">
        <is>
          <t>input manual</t>
        </is>
      </c>
    </row>
    <row r="36" ht="44" customHeight="1">
      <c r="A36" s="33" t="inlineStr">
        <is>
          <t>Des</t>
        </is>
      </c>
      <c r="B36" s="34" t="inlineStr">
        <is>
          <t>Social &amp; Mindset</t>
        </is>
      </c>
      <c r="C36" s="34" t="inlineStr">
        <is>
          <t>Lebih natural dalam kelompok</t>
        </is>
      </c>
      <c r="D36" s="34" t="inlineStr">
        <is>
          <t>Aktif berdiskusi dan lebih nyaman berbicara dengan orang baru</t>
        </is>
      </c>
      <c r="E36" s="34" t="inlineStr">
        <is>
          <t>Mulai berinisiatif ikut percakapan/kelompok</t>
        </is>
      </c>
      <c r="F36" s="35" t="inlineStr">
        <is>
          <t>Utama</t>
        </is>
      </c>
      <c r="G36" s="36">
        <f>IF(H36&gt;=100,"Selesai",IF(H36&gt;0,"Jalan","Belum"))</f>
        <v/>
      </c>
      <c r="H36" s="37" t="n">
        <v>0</v>
      </c>
      <c r="I36" s="38" t="inlineStr"/>
      <c r="J36" s="39" t="inlineStr">
        <is>
          <t>input manual</t>
        </is>
      </c>
    </row>
    <row r="37" ht="44" customHeight="1">
      <c r="A37" s="33" t="inlineStr">
        <is>
          <t>Des</t>
        </is>
      </c>
      <c r="B37" s="34" t="inlineStr">
        <is>
          <t>Social &amp; Mindset</t>
        </is>
      </c>
      <c r="C37" s="34" t="inlineStr">
        <is>
          <t>Mengurangi takut dinilai</t>
        </is>
      </c>
      <c r="D37" s="34" t="inlineStr">
        <is>
          <t>Tidak terlalu lama memikirkan interaksi yang tidak sempurna</t>
        </is>
      </c>
      <c r="E37" s="34" t="inlineStr">
        <is>
          <t>Lebih cepat kembali ke aktivitas setelah interaksi</t>
        </is>
      </c>
      <c r="F37" s="35" t="inlineStr">
        <is>
          <t>Utama</t>
        </is>
      </c>
      <c r="G37" s="36">
        <f>IF(H37&gt;=100,"Selesai",IF(H37&gt;0,"Jalan","Belum"))</f>
        <v/>
      </c>
      <c r="H37" s="37" t="n">
        <v>0</v>
      </c>
      <c r="I37" s="38" t="inlineStr"/>
      <c r="J37" s="39" t="inlineStr">
        <is>
          <t>input manual</t>
        </is>
      </c>
    </row>
    <row r="38" ht="44" customHeight="1">
      <c r="A38" s="33" t="inlineStr">
        <is>
          <t>Des</t>
        </is>
      </c>
      <c r="B38" s="34" t="inlineStr">
        <is>
          <t>GSA &amp; Content</t>
        </is>
      </c>
      <c r="C38" s="34" t="inlineStr">
        <is>
          <t>Pengembangan personal branding</t>
        </is>
      </c>
      <c r="D38" s="34" t="inlineStr">
        <is>
          <t>2 konten per minggu dan gaya konten lebih jelas</t>
        </is>
      </c>
      <c r="E38" s="34" t="inlineStr">
        <is>
          <t>Storytelling/editing/penyampaian makin konsisten</t>
        </is>
      </c>
      <c r="F38" s="35" t="inlineStr">
        <is>
          <t>Utama</t>
        </is>
      </c>
      <c r="G38" s="36">
        <f>IF(H38&gt;=100,"Selesai",IF(H38&gt;0,"Jalan","Belum"))</f>
        <v/>
      </c>
      <c r="H38" s="43">
        <f>IFERROR(MIN(100,SUM(GSA!D15:D18)/8*100),0)</f>
        <v/>
      </c>
      <c r="I38" s="38" t="inlineStr"/>
      <c r="J38" s="44" t="inlineStr">
        <is>
          <t>GSA!D15:D18 / 8</t>
        </is>
      </c>
    </row>
    <row r="39" ht="44" customHeight="1">
      <c r="A39" s="15" t="inlineStr">
        <is>
          <t>Des</t>
        </is>
      </c>
      <c r="B39" s="25" t="inlineStr">
        <is>
          <t>English</t>
        </is>
      </c>
      <c r="C39" s="25" t="inlineStr">
        <is>
          <t>Fluency bertahap</t>
        </is>
      </c>
      <c r="D39" s="25" t="inlineStr">
        <is>
          <t>Mampu berbicara lebih panjang dan menjelaskan opini sederhana</t>
        </is>
      </c>
      <c r="E39" s="25" t="inlineStr">
        <is>
          <t>Lebih nyaman tanpa terjemahan terus-menerus</t>
        </is>
      </c>
      <c r="F39" s="15" t="inlineStr">
        <is>
          <t>Sedang</t>
        </is>
      </c>
      <c r="G39" s="36">
        <f>IF(H39&gt;=100,"Selesai",IF(H39&gt;0,"Jalan","Belum"))</f>
        <v/>
      </c>
      <c r="H39" s="40" t="n">
        <v>0</v>
      </c>
      <c r="I39" s="41" t="inlineStr"/>
      <c r="J39" s="42" t="inlineStr">
        <is>
          <t>input manual</t>
        </is>
      </c>
    </row>
    <row r="40" ht="44" customHeight="1">
      <c r="A40" s="33" t="inlineStr">
        <is>
          <t>Des</t>
        </is>
      </c>
      <c r="B40" s="34" t="inlineStr">
        <is>
          <t>Technical</t>
        </is>
      </c>
      <c r="C40" s="34" t="inlineStr">
        <is>
          <t>Excel + data analysis</t>
        </is>
      </c>
      <c r="D40" s="34" t="inlineStr">
        <is>
          <t>Memakai Excel untuk analisis data sederhana dan statistik dasar</t>
        </is>
      </c>
      <c r="E40" s="34" t="inlineStr">
        <is>
          <t>Ada minimal 1 hasil analisis yang rapi</t>
        </is>
      </c>
      <c r="F40" s="35" t="inlineStr">
        <is>
          <t>Utama</t>
        </is>
      </c>
      <c r="G40" s="36">
        <f>IF(H40&gt;=100,"Selesai",IF(H40&gt;0,"Jalan","Belum"))</f>
        <v/>
      </c>
      <c r="H40" s="37" t="n">
        <v>0</v>
      </c>
      <c r="I40" s="38" t="inlineStr"/>
      <c r="J40" s="39" t="inlineStr">
        <is>
          <t>input manual</t>
        </is>
      </c>
    </row>
    <row r="41" ht="44" customHeight="1">
      <c r="A41" s="15" t="inlineStr">
        <is>
          <t>Des</t>
        </is>
      </c>
      <c r="B41" s="25" t="inlineStr">
        <is>
          <t>Technical</t>
        </is>
      </c>
      <c r="C41" s="25" t="inlineStr">
        <is>
          <t>Typing 80 WPM</t>
        </is>
      </c>
      <c r="D41" s="25" t="inlineStr">
        <is>
          <t>80 WPM dengan akurasi baik</t>
        </is>
      </c>
      <c r="E41" s="25" t="inlineStr">
        <is>
          <t>Mencapai 80 WPM secara konsisten</t>
        </is>
      </c>
      <c r="F41" s="15" t="inlineStr">
        <is>
          <t>Sedang</t>
        </is>
      </c>
      <c r="G41" s="36">
        <f>IF(H41&gt;=100,"Selesai",IF(H41&gt;0,"Jalan","Belum"))</f>
        <v/>
      </c>
      <c r="H41" s="43">
        <f>IFERROR(MIN(100,N(WPM!D8)/80*100),0)</f>
        <v/>
      </c>
      <c r="I41" s="41" t="inlineStr"/>
      <c r="J41" s="44" t="inlineStr">
        <is>
          <t>WPM!D8 / 80</t>
        </is>
      </c>
    </row>
    <row r="42" ht="44" customHeight="1">
      <c r="A42" s="33" t="inlineStr">
        <is>
          <t>Des</t>
        </is>
      </c>
      <c r="B42" s="34" t="inlineStr">
        <is>
          <t>Career</t>
        </is>
      </c>
      <c r="C42" s="34" t="inlineStr">
        <is>
          <t>Persiapan interview</t>
        </is>
      </c>
      <c r="D42" s="34" t="inlineStr">
        <is>
          <t>CV + portfolio siap; latihan pertanyaan interview</t>
        </is>
      </c>
      <c r="E42" s="34" t="inlineStr">
        <is>
          <t>Mampu menjawab pertanyaan umum lebih terstruktur</t>
        </is>
      </c>
      <c r="F42" s="35" t="inlineStr">
        <is>
          <t>Utama</t>
        </is>
      </c>
      <c r="G42" s="36">
        <f>IF(H42&gt;=100,"Selesai",IF(H42&gt;0,"Jalan","Belum"))</f>
        <v/>
      </c>
      <c r="H42" s="37" t="n">
        <v>0</v>
      </c>
      <c r="I42" s="38" t="inlineStr"/>
      <c r="J42" s="39" t="inlineStr">
        <is>
          <t>input manual</t>
        </is>
      </c>
    </row>
    <row r="43" ht="44" customHeight="1">
      <c r="A43" s="15" t="inlineStr">
        <is>
          <t>Des</t>
        </is>
      </c>
      <c r="B43" s="25" t="inlineStr">
        <is>
          <t>Academic</t>
        </is>
      </c>
      <c r="C43" s="25" t="inlineStr">
        <is>
          <t>Arah skripsi</t>
        </is>
      </c>
      <c r="D43" s="25" t="inlineStr">
        <is>
          <t>Memiliki 1–3 kandidat topik yang realistis</t>
        </is>
      </c>
      <c r="E43" s="25" t="inlineStr">
        <is>
          <t>Ada alasan dan arah awal untuk tiap kandidat</t>
        </is>
      </c>
      <c r="F43" s="15" t="inlineStr">
        <is>
          <t>Sedang</t>
        </is>
      </c>
      <c r="G43" s="36">
        <f>IF(H43&gt;=100,"Selesai",IF(H43&gt;0,"Jalan","Belum"))</f>
        <v/>
      </c>
      <c r="H43" s="40" t="n">
        <v>0</v>
      </c>
      <c r="I43" s="41" t="inlineStr"/>
      <c r="J43" s="42" t="inlineStr">
        <is>
          <t>input manual</t>
        </is>
      </c>
    </row>
    <row r="44" ht="24" customHeight="1">
      <c r="A44" s="45" t="inlineStr">
        <is>
          <t>Ringkasan Desember 2026</t>
        </is>
      </c>
      <c r="B44" s="6" t="n"/>
      <c r="C44" s="6" t="n"/>
      <c r="D44" s="6" t="n"/>
      <c r="E44" s="6" t="n"/>
      <c r="F44" s="7" t="n"/>
      <c r="G44" s="46">
        <f>COUNTIF(G35:G43,"Selesai")&amp;" selesai / "&amp;COUNTA(A35:A43)</f>
        <v/>
      </c>
      <c r="H44" s="47">
        <f>IFERROR(AVERAGE(H35:H43)/100,0)</f>
        <v/>
      </c>
      <c r="I44" s="48" t="inlineStr"/>
      <c r="J44" s="49" t="inlineStr">
        <is>
          <t>G35:H43</t>
        </is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6" customHeight="1">
      <c r="A46" s="31" t="inlineStr">
        <is>
          <t>JANUARI 2027    ·    MENERAPKAN    ·    GSA completion + real-world communication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A47" s="32" t="inlineStr">
        <is>
          <t>Bulan</t>
        </is>
      </c>
      <c r="B47" s="32" t="inlineStr">
        <is>
          <t>Jalur</t>
        </is>
      </c>
      <c r="C47" s="32" t="inlineStr">
        <is>
          <t>Pencapaian</t>
        </is>
      </c>
      <c r="D47" s="32" t="inlineStr">
        <is>
          <t>Target akhir bulan</t>
        </is>
      </c>
      <c r="E47" s="32" t="inlineStr">
        <is>
          <t>Indikator</t>
        </is>
      </c>
      <c r="F47" s="32" t="inlineStr">
        <is>
          <t>Prioritas</t>
        </is>
      </c>
      <c r="G47" s="32" t="inlineStr">
        <is>
          <t>Status</t>
        </is>
      </c>
      <c r="H47" s="32" t="inlineStr">
        <is>
          <t>Progress</t>
        </is>
      </c>
      <c r="I47" s="32" t="inlineStr">
        <is>
          <t>Catatan</t>
        </is>
      </c>
      <c r="J47" s="32" t="inlineStr">
        <is>
          <t>Sumber rumus</t>
        </is>
      </c>
    </row>
    <row r="48" ht="44" customHeight="1">
      <c r="A48" s="33" t="inlineStr">
        <is>
          <t>Jan</t>
        </is>
      </c>
      <c r="B48" s="34" t="inlineStr">
        <is>
          <t>Communication</t>
        </is>
      </c>
      <c r="C48" s="34" t="inlineStr">
        <is>
          <t>Public speaking — natural dalam praktik</t>
        </is>
      </c>
      <c r="D48" s="34" t="inlineStr">
        <is>
          <t>Berbicara/briefing lebih natural dan tetap berfungsi saat gugup</t>
        </is>
      </c>
      <c r="E48" s="34" t="inlineStr">
        <is>
          <t>Tidak menghindari kesempatan berbicara</t>
        </is>
      </c>
      <c r="F48" s="35" t="inlineStr">
        <is>
          <t>Utama</t>
        </is>
      </c>
      <c r="G48" s="36">
        <f>IF(H48&gt;=100,"Selesai",IF(H48&gt;0,"Jalan","Belum"))</f>
        <v/>
      </c>
      <c r="H48" s="37" t="n">
        <v>0</v>
      </c>
      <c r="I48" s="38" t="inlineStr"/>
      <c r="J48" s="39" t="inlineStr">
        <is>
          <t>input manual</t>
        </is>
      </c>
    </row>
    <row r="49" ht="44" customHeight="1">
      <c r="A49" s="33" t="inlineStr">
        <is>
          <t>Jan</t>
        </is>
      </c>
      <c r="B49" s="34" t="inlineStr">
        <is>
          <t>Social &amp; Mindset</t>
        </is>
      </c>
      <c r="C49" s="34" t="inlineStr">
        <is>
          <t>Lebih terbuka &amp; self-judgment terkendali</t>
        </is>
      </c>
      <c r="D49" s="34" t="inlineStr">
        <is>
          <t>Lebih nyaman memulai interaksi dan tidak berlebihan menyalahkan diri</t>
        </is>
      </c>
      <c r="E49" s="34" t="inlineStr">
        <is>
          <t>Fokus pada pembelajaran setelah interaksi</t>
        </is>
      </c>
      <c r="F49" s="35" t="inlineStr">
        <is>
          <t>Utama</t>
        </is>
      </c>
      <c r="G49" s="36">
        <f>IF(H49&gt;=100,"Selesai",IF(H49&gt;0,"Jalan","Belum"))</f>
        <v/>
      </c>
      <c r="H49" s="37" t="n">
        <v>0</v>
      </c>
      <c r="I49" s="38" t="inlineStr"/>
      <c r="J49" s="39" t="inlineStr">
        <is>
          <t>input manual</t>
        </is>
      </c>
    </row>
    <row r="50" ht="44" customHeight="1">
      <c r="A50" s="33" t="inlineStr">
        <is>
          <t>Jan</t>
        </is>
      </c>
      <c r="B50" s="34" t="inlineStr">
        <is>
          <t>GSA &amp; Content</t>
        </is>
      </c>
      <c r="C50" s="34" t="inlineStr">
        <is>
          <t>Finish strong, bukan burnout</t>
        </is>
      </c>
      <c r="D50" s="34" t="inlineStr">
        <is>
          <t>Selesaikan GSA sampai 31 Jan dan jaga ritme 2 konten/minggu bila realistis</t>
        </is>
      </c>
      <c r="E50" s="34" t="inlineStr">
        <is>
          <t>Karya terkumpul dan pengalaman siap diceritakan</t>
        </is>
      </c>
      <c r="F50" s="35" t="inlineStr">
        <is>
          <t>Utama</t>
        </is>
      </c>
      <c r="G50" s="36">
        <f>IF(H50&gt;=100,"Selesai",IF(H50&gt;0,"Jalan","Belum"))</f>
        <v/>
      </c>
      <c r="H50" s="43">
        <f>IFERROR(MIN(100,SUM(GSA!D19:D23)/10*100),0)</f>
        <v/>
      </c>
      <c r="I50" s="38" t="inlineStr"/>
      <c r="J50" s="44" t="inlineStr">
        <is>
          <t>GSA!D19:D23 / 10</t>
        </is>
      </c>
    </row>
    <row r="51" ht="44" customHeight="1">
      <c r="A51" s="15" t="inlineStr">
        <is>
          <t>Jan</t>
        </is>
      </c>
      <c r="B51" s="25" t="inlineStr">
        <is>
          <t>English</t>
        </is>
      </c>
      <c r="C51" s="25" t="inlineStr">
        <is>
          <t>Practical English</t>
        </is>
      </c>
      <c r="D51" s="25" t="inlineStr">
        <is>
          <t>Menggunakan English dalam situasi nyata</t>
        </is>
      </c>
      <c r="E51" s="25" t="inlineStr">
        <is>
          <t>Conversation lebih spontan dan nyaman</t>
        </is>
      </c>
      <c r="F51" s="15" t="inlineStr">
        <is>
          <t>Sedang</t>
        </is>
      </c>
      <c r="G51" s="36">
        <f>IF(H51&gt;=100,"Selesai",IF(H51&gt;0,"Jalan","Belum"))</f>
        <v/>
      </c>
      <c r="H51" s="40" t="n">
        <v>0</v>
      </c>
      <c r="I51" s="41" t="inlineStr"/>
      <c r="J51" s="42" t="inlineStr">
        <is>
          <t>input manual</t>
        </is>
      </c>
    </row>
    <row r="52" ht="44" customHeight="1">
      <c r="A52" s="15" t="inlineStr">
        <is>
          <t>Jan</t>
        </is>
      </c>
      <c r="B52" s="25" t="inlineStr">
        <is>
          <t>Technical</t>
        </is>
      </c>
      <c r="C52" s="25" t="inlineStr">
        <is>
          <t>Typing 90 WPM + portfolio</t>
        </is>
      </c>
      <c r="D52" s="25" t="inlineStr">
        <is>
          <t>90 WPM dengan akurasi baik dan 1 hasil kerja untuk portfolio</t>
        </is>
      </c>
      <c r="E52" s="25" t="inlineStr">
        <is>
          <t>90 WPM + ada output yang bisa ditunjukkan</t>
        </is>
      </c>
      <c r="F52" s="15" t="inlineStr">
        <is>
          <t>Sedang</t>
        </is>
      </c>
      <c r="G52" s="36">
        <f>IF(H52&gt;=100,"Selesai",IF(H52&gt;0,"Jalan","Belum"))</f>
        <v/>
      </c>
      <c r="H52" s="43">
        <f>IFERROR(MIN(100,N(WPM!D9)/90*100),0)</f>
        <v/>
      </c>
      <c r="I52" s="41" t="inlineStr"/>
      <c r="J52" s="44" t="inlineStr">
        <is>
          <t>WPM!D9 / 90</t>
        </is>
      </c>
    </row>
    <row r="53" ht="44" customHeight="1">
      <c r="A53" s="33" t="inlineStr">
        <is>
          <t>Jan</t>
        </is>
      </c>
      <c r="B53" s="34" t="inlineStr">
        <is>
          <t>Career</t>
        </is>
      </c>
      <c r="C53" s="34" t="inlineStr">
        <is>
          <t>Siap seleksi magang</t>
        </is>
      </c>
      <c r="D53" s="34" t="inlineStr">
        <is>
          <t>CV/portfolio/interview siap dan strategi aplikasi lebih matang</t>
        </is>
      </c>
      <c r="E53" s="34" t="inlineStr">
        <is>
          <t>Siap mengikuti proses seleksi</t>
        </is>
      </c>
      <c r="F53" s="35" t="inlineStr">
        <is>
          <t>Utama</t>
        </is>
      </c>
      <c r="G53" s="36">
        <f>IF(H53&gt;=100,"Selesai",IF(H53&gt;0,"Jalan","Belum"))</f>
        <v/>
      </c>
      <c r="H53" s="37" t="n">
        <v>0</v>
      </c>
      <c r="I53" s="38" t="inlineStr"/>
      <c r="J53" s="39" t="inlineStr">
        <is>
          <t>input manual</t>
        </is>
      </c>
    </row>
    <row r="54" ht="24" customHeight="1">
      <c r="A54" s="45" t="inlineStr">
        <is>
          <t>Ringkasan Januari 2027</t>
        </is>
      </c>
      <c r="B54" s="6" t="n"/>
      <c r="C54" s="6" t="n"/>
      <c r="D54" s="6" t="n"/>
      <c r="E54" s="6" t="n"/>
      <c r="F54" s="7" t="n"/>
      <c r="G54" s="46">
        <f>COUNTIF(G48:G53,"Selesai")&amp;" selesai / "&amp;COUNTA(A48:A53)</f>
        <v/>
      </c>
      <c r="H54" s="47">
        <f>IFERROR(AVERAGE(H48:H53)/100,0)</f>
        <v/>
      </c>
      <c r="I54" s="48" t="inlineStr"/>
      <c r="J54" s="49" t="inlineStr">
        <is>
          <t>G48:H53</t>
        </is>
      </c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</row>
  </sheetData>
  <mergeCells count="10">
    <mergeCell ref="A54:F54"/>
    <mergeCell ref="A5:J5"/>
    <mergeCell ref="A46:J46"/>
    <mergeCell ref="A2:I2"/>
    <mergeCell ref="A44:F44"/>
    <mergeCell ref="A31:F31"/>
    <mergeCell ref="A3:I3"/>
    <mergeCell ref="A20:J20"/>
    <mergeCell ref="A18:F18"/>
    <mergeCell ref="A33:J33"/>
  </mergeCells>
  <conditionalFormatting sqref="H5:H56">
    <cfRule type="colorScale" priority="1">
      <colorScale>
        <cfvo type="num" val="0"/>
        <cfvo type="num" val="50"/>
        <cfvo type="num" val="100"/>
        <color rgb="00EEEAE2"/>
        <color rgb="00C4B48A"/>
        <color rgb="003D6B4F"/>
      </colorScale>
    </cfRule>
  </conditionalFormatting>
  <conditionalFormatting sqref="G5:G56">
    <cfRule type="expression" priority="2" dxfId="0">
      <formula>G5="Selesai"</formula>
    </cfRule>
    <cfRule type="expression" priority="3" dxfId="1">
      <formula>G5="Jalan"</formula>
    </cfRule>
    <cfRule type="expression" priority="4" dxfId="2">
      <formula>G5="Belum"</formula>
    </cfRule>
  </conditionalFormatting>
  <pageMargins left="0.4" right="0.4" top="0.5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F4A42"/>
    <outlinePr summaryBelow="1" summaryRight="1"/>
    <pageSetUpPr fitToPage="1"/>
  </sheetPr>
  <dimension ref="A1:H40"/>
  <sheetViews>
    <sheetView showGridLines="0" zoomScale="90" workbookViewId="0">
      <selection activeCell="A1" sqref="A1"/>
    </sheetView>
  </sheetViews>
  <sheetFormatPr baseColWidth="8" defaultRowHeight="15" outlineLevelCol="0"/>
  <cols>
    <col width="20" customWidth="1" min="1" max="1"/>
    <col width="22" customWidth="1" min="2" max="2"/>
    <col width="14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3" t="inlineStr">
        <is>
          <t>WPM  ·  tertaut ke Typing di sheet 4 Bulan</t>
        </is>
      </c>
    </row>
    <row r="3">
      <c r="A3" s="4" t="inlineStr">
        <is>
          <t>Isi Aktual WPM. Progress baris Typing (60/70/80/90) di 4 Bulan ikut terhitung. Status memakai target + akurasi.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5" t="inlineStr">
        <is>
          <t>Bulan</t>
        </is>
      </c>
      <c r="B5" s="5" t="inlineStr">
        <is>
          <t>Fase</t>
        </is>
      </c>
      <c r="C5" s="5" t="inlineStr">
        <is>
          <t>Target WPM</t>
        </is>
      </c>
      <c r="D5" s="5" t="inlineStr">
        <is>
          <t>Aktual WPM</t>
        </is>
      </c>
      <c r="E5" s="5" t="inlineStr">
        <is>
          <t>Gap</t>
        </is>
      </c>
      <c r="F5" s="5" t="inlineStr">
        <is>
          <t>Akurasi target</t>
        </is>
      </c>
      <c r="G5" s="5" t="inlineStr">
        <is>
          <t>Aktual akurasi</t>
        </is>
      </c>
      <c r="H5" s="5" t="inlineStr">
        <is>
          <t>Status</t>
        </is>
      </c>
    </row>
    <row r="6" ht="26" customHeight="1">
      <c r="A6" s="38" t="inlineStr">
        <is>
          <t>Oktober 2026</t>
        </is>
      </c>
      <c r="B6" s="38" t="inlineStr">
        <is>
          <t>Berani memulai</t>
        </is>
      </c>
      <c r="C6" s="22" t="n">
        <v>60</v>
      </c>
      <c r="D6" s="33" t="n">
        <v>0</v>
      </c>
      <c r="E6" s="36">
        <f>IF(D6="",C6,C6-D6)</f>
        <v/>
      </c>
      <c r="F6" s="50" t="n">
        <v>0.95</v>
      </c>
      <c r="G6" s="51" t="inlineStr"/>
      <c r="H6" s="36">
        <f>IF(OR(D6="",D6=0),"Belum",IF(AND(D6&gt;=C6,OR(G6="",G6&gt;=F6)),"Tercapai","Jalan"))</f>
        <v/>
      </c>
    </row>
    <row r="7" ht="26" customHeight="1">
      <c r="A7" s="38" t="inlineStr">
        <is>
          <t>November 2026</t>
        </is>
      </c>
      <c r="B7" s="38" t="inlineStr">
        <is>
          <t>Mulai terbiasa</t>
        </is>
      </c>
      <c r="C7" s="22" t="n">
        <v>70</v>
      </c>
      <c r="D7" s="33" t="n">
        <v>0</v>
      </c>
      <c r="E7" s="36">
        <f>IF(D7="",C7,C7-D7)</f>
        <v/>
      </c>
      <c r="F7" s="50" t="n">
        <v>0.95</v>
      </c>
      <c r="G7" s="51" t="inlineStr"/>
      <c r="H7" s="36">
        <f>IF(OR(D7="",D7=0),"Belum",IF(AND(D7&gt;=C7,OR(G7="",G7&gt;=F7)),"Tercapai","Jalan"))</f>
        <v/>
      </c>
    </row>
    <row r="8" ht="26" customHeight="1">
      <c r="A8" s="38" t="inlineStr">
        <is>
          <t>Desember 2026</t>
        </is>
      </c>
      <c r="B8" s="38" t="inlineStr">
        <is>
          <t>Menjadi terampil</t>
        </is>
      </c>
      <c r="C8" s="22" t="n">
        <v>80</v>
      </c>
      <c r="D8" s="33" t="n">
        <v>0</v>
      </c>
      <c r="E8" s="36">
        <f>IF(D8="",C8,C8-D8)</f>
        <v/>
      </c>
      <c r="F8" s="50" t="n">
        <v>0.95</v>
      </c>
      <c r="G8" s="51" t="inlineStr"/>
      <c r="H8" s="36">
        <f>IF(OR(D8="",D8=0),"Belum",IF(AND(D8&gt;=C8,OR(G8="",G8&gt;=F8)),"Tercapai","Jalan"))</f>
        <v/>
      </c>
    </row>
    <row r="9" ht="26" customHeight="1">
      <c r="A9" s="38" t="inlineStr">
        <is>
          <t>Januari 2027</t>
        </is>
      </c>
      <c r="B9" s="38" t="inlineStr">
        <is>
          <t>Menerapkan</t>
        </is>
      </c>
      <c r="C9" s="22" t="n">
        <v>90</v>
      </c>
      <c r="D9" s="33" t="n">
        <v>0</v>
      </c>
      <c r="E9" s="36">
        <f>IF(D9="",C9,C9-D9)</f>
        <v/>
      </c>
      <c r="F9" s="50" t="n">
        <v>0.95</v>
      </c>
      <c r="G9" s="51" t="inlineStr"/>
      <c r="H9" s="36">
        <f>IF(OR(D9="",D9=0),"Belum",IF(AND(D9&gt;=C9,OR(G9="",G9&gt;=F9)),"Tercapai","Jalan"))</f>
        <v/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</sheetData>
  <mergeCells count="2">
    <mergeCell ref="A3:H3"/>
    <mergeCell ref="A2:H2"/>
  </mergeCells>
  <pageMargins left="0.4" right="0.4" top="0.5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F4A42"/>
    <outlinePr summaryBelow="1" summaryRight="1"/>
    <pageSetUpPr fitToPage="1"/>
  </sheetPr>
  <dimension ref="A1:H45"/>
  <sheetViews>
    <sheetView showGridLines="0" zoomScale="90" workbookViewId="0">
      <selection activeCell="A1" sqref="A1"/>
    </sheetView>
  </sheetViews>
  <sheetFormatPr baseColWidth="8" defaultRowHeight="15" outlineLevelCol="0"/>
  <cols>
    <col width="12" customWidth="1" min="1" max="1"/>
    <col width="22" customWidth="1" min="2" max="2"/>
    <col width="12" customWidth="1" min="3" max="3"/>
    <col width="12" customWidth="1" min="4" max="4"/>
    <col width="10" customWidth="1" min="5" max="5"/>
    <col width="14" customWidth="1" min="6" max="6"/>
    <col width="28" customWidth="1" min="7" max="7"/>
    <col width="26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3" t="inlineStr">
        <is>
          <t>GSA  ·  tertaut ke doughnut Ringkasan &amp; baris konten 4 Bulan</t>
        </is>
      </c>
    </row>
    <row r="3">
      <c r="A3" s="4" t="inlineStr">
        <is>
          <t>Isi Aktual tiap minggu. Total, pie, dan progress 'konsisten membuat konten' mengikuti rumus SUM.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5" t="inlineStr">
        <is>
          <t>Minggu</t>
        </is>
      </c>
      <c r="B5" s="5" t="inlineStr">
        <is>
          <t>Periode</t>
        </is>
      </c>
      <c r="C5" s="5" t="inlineStr">
        <is>
          <t>Target</t>
        </is>
      </c>
      <c r="D5" s="5" t="inlineStr">
        <is>
          <t>Aktual</t>
        </is>
      </c>
      <c r="E5" s="5" t="inlineStr">
        <is>
          <t>Gap</t>
        </is>
      </c>
      <c r="F5" s="5" t="inlineStr">
        <is>
          <t>Status</t>
        </is>
      </c>
      <c r="G5" s="5" t="inlineStr">
        <is>
          <t>Ide / topik</t>
        </is>
      </c>
      <c r="H5" s="5" t="inlineStr">
        <is>
          <t>Catatan</t>
        </is>
      </c>
    </row>
    <row r="6" ht="22" customHeight="1">
      <c r="A6" s="33" t="n">
        <v>1</v>
      </c>
      <c r="B6" s="38" t="inlineStr">
        <is>
          <t>1–7 Okt</t>
        </is>
      </c>
      <c r="C6" s="33" t="n">
        <v>2</v>
      </c>
      <c r="D6" s="33" t="n">
        <v>0</v>
      </c>
      <c r="E6" s="36">
        <f>C6-D6</f>
        <v/>
      </c>
      <c r="F6" s="36">
        <f>IF(D6&gt;=C6,"Tercapai",IF(D6&gt;0,"Jalan","Belum"))</f>
        <v/>
      </c>
      <c r="G6" s="38" t="inlineStr"/>
      <c r="H6" s="38" t="inlineStr"/>
    </row>
    <row r="7" ht="22" customHeight="1">
      <c r="A7" s="15" t="n">
        <v>2</v>
      </c>
      <c r="B7" s="41" t="inlineStr">
        <is>
          <t>8–14 Okt</t>
        </is>
      </c>
      <c r="C7" s="15" t="n">
        <v>2</v>
      </c>
      <c r="D7" s="15" t="n">
        <v>0</v>
      </c>
      <c r="E7" s="36">
        <f>C7-D7</f>
        <v/>
      </c>
      <c r="F7" s="36">
        <f>IF(D7&gt;=C7,"Tercapai",IF(D7&gt;0,"Jalan","Belum"))</f>
        <v/>
      </c>
      <c r="G7" s="41" t="inlineStr"/>
      <c r="H7" s="41" t="inlineStr"/>
    </row>
    <row r="8" ht="22" customHeight="1">
      <c r="A8" s="33" t="n">
        <v>3</v>
      </c>
      <c r="B8" s="38" t="inlineStr">
        <is>
          <t>15–21 Okt</t>
        </is>
      </c>
      <c r="C8" s="33" t="n">
        <v>2</v>
      </c>
      <c r="D8" s="33" t="n">
        <v>0</v>
      </c>
      <c r="E8" s="36">
        <f>C8-D8</f>
        <v/>
      </c>
      <c r="F8" s="36">
        <f>IF(D8&gt;=C8,"Tercapai",IF(D8&gt;0,"Jalan","Belum"))</f>
        <v/>
      </c>
      <c r="G8" s="38" t="inlineStr"/>
      <c r="H8" s="38" t="inlineStr"/>
    </row>
    <row r="9" ht="22" customHeight="1">
      <c r="A9" s="15" t="n">
        <v>4</v>
      </c>
      <c r="B9" s="41" t="inlineStr">
        <is>
          <t>22–28 Okt</t>
        </is>
      </c>
      <c r="C9" s="15" t="n">
        <v>2</v>
      </c>
      <c r="D9" s="15" t="n">
        <v>0</v>
      </c>
      <c r="E9" s="36">
        <f>C9-D9</f>
        <v/>
      </c>
      <c r="F9" s="36">
        <f>IF(D9&gt;=C9,"Tercapai",IF(D9&gt;0,"Jalan","Belum"))</f>
        <v/>
      </c>
      <c r="G9" s="41" t="inlineStr"/>
      <c r="H9" s="41" t="inlineStr"/>
    </row>
    <row r="10" ht="22" customHeight="1">
      <c r="A10" s="33" t="n">
        <v>5</v>
      </c>
      <c r="B10" s="38" t="inlineStr">
        <is>
          <t>29 Okt – 4 Nov</t>
        </is>
      </c>
      <c r="C10" s="33" t="n">
        <v>2</v>
      </c>
      <c r="D10" s="33" t="n">
        <v>0</v>
      </c>
      <c r="E10" s="36">
        <f>C10-D10</f>
        <v/>
      </c>
      <c r="F10" s="36">
        <f>IF(D10&gt;=C10,"Tercapai",IF(D10&gt;0,"Jalan","Belum"))</f>
        <v/>
      </c>
      <c r="G10" s="38" t="inlineStr"/>
      <c r="H10" s="38" t="inlineStr"/>
    </row>
    <row r="11" ht="22" customHeight="1">
      <c r="A11" s="15" t="n">
        <v>6</v>
      </c>
      <c r="B11" s="41" t="inlineStr">
        <is>
          <t>5–11 Nov</t>
        </is>
      </c>
      <c r="C11" s="15" t="n">
        <v>2</v>
      </c>
      <c r="D11" s="15" t="n">
        <v>0</v>
      </c>
      <c r="E11" s="36">
        <f>C11-D11</f>
        <v/>
      </c>
      <c r="F11" s="36">
        <f>IF(D11&gt;=C11,"Tercapai",IF(D11&gt;0,"Jalan","Belum"))</f>
        <v/>
      </c>
      <c r="G11" s="41" t="inlineStr"/>
      <c r="H11" s="41" t="inlineStr"/>
    </row>
    <row r="12" ht="22" customHeight="1">
      <c r="A12" s="33" t="n">
        <v>7</v>
      </c>
      <c r="B12" s="38" t="inlineStr">
        <is>
          <t>12–18 Nov</t>
        </is>
      </c>
      <c r="C12" s="33" t="n">
        <v>2</v>
      </c>
      <c r="D12" s="33" t="n">
        <v>0</v>
      </c>
      <c r="E12" s="36">
        <f>C12-D12</f>
        <v/>
      </c>
      <c r="F12" s="36">
        <f>IF(D12&gt;=C12,"Tercapai",IF(D12&gt;0,"Jalan","Belum"))</f>
        <v/>
      </c>
      <c r="G12" s="38" t="inlineStr"/>
      <c r="H12" s="38" t="inlineStr"/>
    </row>
    <row r="13" ht="22" customHeight="1">
      <c r="A13" s="15" t="n">
        <v>8</v>
      </c>
      <c r="B13" s="41" t="inlineStr">
        <is>
          <t>19–25 Nov</t>
        </is>
      </c>
      <c r="C13" s="15" t="n">
        <v>2</v>
      </c>
      <c r="D13" s="15" t="n">
        <v>0</v>
      </c>
      <c r="E13" s="36">
        <f>C13-D13</f>
        <v/>
      </c>
      <c r="F13" s="36">
        <f>IF(D13&gt;=C13,"Tercapai",IF(D13&gt;0,"Jalan","Belum"))</f>
        <v/>
      </c>
      <c r="G13" s="41" t="inlineStr"/>
      <c r="H13" s="41" t="inlineStr"/>
    </row>
    <row r="14" ht="22" customHeight="1">
      <c r="A14" s="33" t="n">
        <v>9</v>
      </c>
      <c r="B14" s="38" t="inlineStr">
        <is>
          <t>26 Nov – 2 Des</t>
        </is>
      </c>
      <c r="C14" s="33" t="n">
        <v>2</v>
      </c>
      <c r="D14" s="33" t="n">
        <v>0</v>
      </c>
      <c r="E14" s="36">
        <f>C14-D14</f>
        <v/>
      </c>
      <c r="F14" s="36">
        <f>IF(D14&gt;=C14,"Tercapai",IF(D14&gt;0,"Jalan","Belum"))</f>
        <v/>
      </c>
      <c r="G14" s="38" t="inlineStr"/>
      <c r="H14" s="38" t="inlineStr"/>
    </row>
    <row r="15" ht="22" customHeight="1">
      <c r="A15" s="15" t="n">
        <v>10</v>
      </c>
      <c r="B15" s="41" t="inlineStr">
        <is>
          <t>3–9 Des</t>
        </is>
      </c>
      <c r="C15" s="15" t="n">
        <v>2</v>
      </c>
      <c r="D15" s="15" t="n">
        <v>0</v>
      </c>
      <c r="E15" s="36">
        <f>C15-D15</f>
        <v/>
      </c>
      <c r="F15" s="36">
        <f>IF(D15&gt;=C15,"Tercapai",IF(D15&gt;0,"Jalan","Belum"))</f>
        <v/>
      </c>
      <c r="G15" s="41" t="inlineStr"/>
      <c r="H15" s="41" t="inlineStr"/>
    </row>
    <row r="16" ht="22" customHeight="1">
      <c r="A16" s="33" t="n">
        <v>11</v>
      </c>
      <c r="B16" s="38" t="inlineStr">
        <is>
          <t>10–16 Des</t>
        </is>
      </c>
      <c r="C16" s="33" t="n">
        <v>2</v>
      </c>
      <c r="D16" s="33" t="n">
        <v>0</v>
      </c>
      <c r="E16" s="36">
        <f>C16-D16</f>
        <v/>
      </c>
      <c r="F16" s="36">
        <f>IF(D16&gt;=C16,"Tercapai",IF(D16&gt;0,"Jalan","Belum"))</f>
        <v/>
      </c>
      <c r="G16" s="38" t="inlineStr"/>
      <c r="H16" s="38" t="inlineStr"/>
    </row>
    <row r="17" ht="22" customHeight="1">
      <c r="A17" s="15" t="n">
        <v>12</v>
      </c>
      <c r="B17" s="41" t="inlineStr">
        <is>
          <t>17–23 Des</t>
        </is>
      </c>
      <c r="C17" s="15" t="n">
        <v>2</v>
      </c>
      <c r="D17" s="15" t="n">
        <v>0</v>
      </c>
      <c r="E17" s="36">
        <f>C17-D17</f>
        <v/>
      </c>
      <c r="F17" s="36">
        <f>IF(D17&gt;=C17,"Tercapai",IF(D17&gt;0,"Jalan","Belum"))</f>
        <v/>
      </c>
      <c r="G17" s="41" t="inlineStr"/>
      <c r="H17" s="41" t="inlineStr"/>
    </row>
    <row r="18" ht="22" customHeight="1">
      <c r="A18" s="33" t="n">
        <v>13</v>
      </c>
      <c r="B18" s="38" t="inlineStr">
        <is>
          <t>24–30 Des</t>
        </is>
      </c>
      <c r="C18" s="33" t="n">
        <v>2</v>
      </c>
      <c r="D18" s="33" t="n">
        <v>0</v>
      </c>
      <c r="E18" s="36">
        <f>C18-D18</f>
        <v/>
      </c>
      <c r="F18" s="36">
        <f>IF(D18&gt;=C18,"Tercapai",IF(D18&gt;0,"Jalan","Belum"))</f>
        <v/>
      </c>
      <c r="G18" s="38" t="inlineStr"/>
      <c r="H18" s="38" t="inlineStr"/>
    </row>
    <row r="19" ht="22" customHeight="1">
      <c r="A19" s="15" t="n">
        <v>14</v>
      </c>
      <c r="B19" s="41" t="inlineStr">
        <is>
          <t>31 Des – 6 Jan</t>
        </is>
      </c>
      <c r="C19" s="15" t="n">
        <v>2</v>
      </c>
      <c r="D19" s="15" t="n">
        <v>0</v>
      </c>
      <c r="E19" s="36">
        <f>C19-D19</f>
        <v/>
      </c>
      <c r="F19" s="36">
        <f>IF(D19&gt;=C19,"Tercapai",IF(D19&gt;0,"Jalan","Belum"))</f>
        <v/>
      </c>
      <c r="G19" s="41" t="inlineStr"/>
      <c r="H19" s="41" t="inlineStr"/>
    </row>
    <row r="20" ht="22" customHeight="1">
      <c r="A20" s="33" t="n">
        <v>15</v>
      </c>
      <c r="B20" s="38" t="inlineStr">
        <is>
          <t>7–13 Jan</t>
        </is>
      </c>
      <c r="C20" s="33" t="n">
        <v>2</v>
      </c>
      <c r="D20" s="33" t="n">
        <v>0</v>
      </c>
      <c r="E20" s="36">
        <f>C20-D20</f>
        <v/>
      </c>
      <c r="F20" s="36">
        <f>IF(D20&gt;=C20,"Tercapai",IF(D20&gt;0,"Jalan","Belum"))</f>
        <v/>
      </c>
      <c r="G20" s="38" t="inlineStr"/>
      <c r="H20" s="38" t="inlineStr"/>
    </row>
    <row r="21" ht="22" customHeight="1">
      <c r="A21" s="15" t="n">
        <v>16</v>
      </c>
      <c r="B21" s="41" t="inlineStr">
        <is>
          <t>14–20 Jan</t>
        </is>
      </c>
      <c r="C21" s="15" t="n">
        <v>2</v>
      </c>
      <c r="D21" s="15" t="n">
        <v>0</v>
      </c>
      <c r="E21" s="36">
        <f>C21-D21</f>
        <v/>
      </c>
      <c r="F21" s="36">
        <f>IF(D21&gt;=C21,"Tercapai",IF(D21&gt;0,"Jalan","Belum"))</f>
        <v/>
      </c>
      <c r="G21" s="41" t="inlineStr"/>
      <c r="H21" s="41" t="inlineStr"/>
    </row>
    <row r="22" ht="22" customHeight="1">
      <c r="A22" s="33" t="n">
        <v>17</v>
      </c>
      <c r="B22" s="38" t="inlineStr">
        <is>
          <t>21–27 Jan</t>
        </is>
      </c>
      <c r="C22" s="33" t="n">
        <v>2</v>
      </c>
      <c r="D22" s="33" t="n">
        <v>0</v>
      </c>
      <c r="E22" s="36">
        <f>C22-D22</f>
        <v/>
      </c>
      <c r="F22" s="36">
        <f>IF(D22&gt;=C22,"Tercapai",IF(D22&gt;0,"Jalan","Belum"))</f>
        <v/>
      </c>
      <c r="G22" s="38" t="inlineStr"/>
      <c r="H22" s="38" t="inlineStr"/>
    </row>
    <row r="23" ht="22" customHeight="1">
      <c r="A23" s="15" t="n">
        <v>18</v>
      </c>
      <c r="B23" s="41" t="inlineStr">
        <is>
          <t>28–31 Jan</t>
        </is>
      </c>
      <c r="C23" s="15" t="n">
        <v>2</v>
      </c>
      <c r="D23" s="15" t="n">
        <v>0</v>
      </c>
      <c r="E23" s="36">
        <f>C23-D23</f>
        <v/>
      </c>
      <c r="F23" s="36">
        <f>IF(D23&gt;=C23,"Tercapai",IF(D23&gt;0,"Jalan","Belum"))</f>
        <v/>
      </c>
      <c r="G23" s="41" t="inlineStr"/>
      <c r="H23" s="41" t="inlineStr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52" t="inlineStr">
        <is>
          <t>Total aktual (rumus)</t>
        </is>
      </c>
      <c r="B25" s="1" t="n"/>
      <c r="C25" s="1" t="n"/>
      <c r="D25" s="53">
        <f>SUM(D6:D23)</f>
        <v/>
      </c>
      <c r="E25" s="1" t="n"/>
      <c r="F25" s="1" t="n"/>
      <c r="G25" s="1" t="n"/>
      <c r="H25" s="1" t="n"/>
    </row>
    <row r="26">
      <c r="A26" s="4" t="inlineStr">
        <is>
          <t>Target semester</t>
        </is>
      </c>
      <c r="B26" s="1" t="n"/>
      <c r="C26" s="1" t="n"/>
      <c r="D26" s="54" t="n">
        <v>36</v>
      </c>
      <c r="E26" s="1" t="n"/>
      <c r="F26" s="1" t="n"/>
      <c r="G26" s="1" t="n"/>
      <c r="H26" s="1" t="n"/>
    </row>
    <row r="27">
      <c r="A27" s="4" t="inlineStr">
        <is>
          <t>Progress GSA</t>
        </is>
      </c>
      <c r="B27" s="1" t="n"/>
      <c r="C27" s="1" t="n"/>
      <c r="D27" s="55">
        <f>IFERROR(D25/D26,0)</f>
        <v/>
      </c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</sheetData>
  <mergeCells count="2">
    <mergeCell ref="A3:H3"/>
    <mergeCell ref="A2:H2"/>
  </mergeCells>
  <conditionalFormatting sqref="F6:F23">
    <cfRule type="expression" priority="1" dxfId="0">
      <formula>F6="Tercapai"</formula>
    </cfRule>
    <cfRule type="expression" priority="2" dxfId="1">
      <formula>F6="Jalan"</formula>
    </cfRule>
  </conditionalFormatting>
  <pageMargins left="0.4" right="0.4" top="0.5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4F6F62"/>
    <outlinePr summaryBelow="1" summaryRight="1"/>
    <pageSetUpPr fitToPage="1"/>
  </sheetPr>
  <dimension ref="A1:F50"/>
  <sheetViews>
    <sheetView showGridLines="0" zoomScale="90" workbookViewId="0">
      <selection activeCell="A1" sqref="A1"/>
    </sheetView>
  </sheetViews>
  <sheetFormatPr baseColWidth="8" defaultRowHeight="15" outlineLevelCol="0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</cols>
  <sheetData>
    <row r="1" ht="30" customHeight="1">
      <c r="A1" s="3" t="inlineStr">
        <is>
          <t>MESIN RUMUS  ·  semua visual membaca sel di sini</t>
        </is>
      </c>
    </row>
    <row r="2">
      <c r="A2" s="4" t="inlineStr">
        <is>
          <t>Jangan hapus sheet ini. Ubah data hanya di 4 Bulan / WPM / GSA — angka di bawah mengikuti otomatis.</t>
        </is>
      </c>
    </row>
    <row r="3">
      <c r="A3" s="1" t="n"/>
      <c r="B3" s="1" t="n"/>
      <c r="C3" s="1" t="n"/>
      <c r="D3" s="1" t="n"/>
      <c r="E3" s="1" t="n"/>
      <c r="F3" s="1" t="n"/>
    </row>
    <row r="4">
      <c r="A4" s="56" t="inlineStr">
        <is>
          <t>STATUS KESELURUHAN</t>
        </is>
      </c>
      <c r="C4" s="1" t="n"/>
      <c r="D4" s="1" t="n"/>
      <c r="E4" s="1" t="n"/>
      <c r="F4" s="1" t="n"/>
    </row>
    <row r="5">
      <c r="A5" s="32" t="inlineStr">
        <is>
          <t>Label</t>
        </is>
      </c>
      <c r="B5" s="32" t="inlineStr">
        <is>
          <t>Jumlah</t>
        </is>
      </c>
      <c r="C5" s="1" t="n"/>
      <c r="D5" s="1" t="n"/>
      <c r="E5" s="1" t="n"/>
      <c r="F5" s="1" t="n"/>
    </row>
    <row r="6">
      <c r="A6" s="38" t="inlineStr">
        <is>
          <t>Selesai</t>
        </is>
      </c>
      <c r="B6" s="36">
        <f>COUNTIF('4 Bulan'!G:G,"Selesai")</f>
        <v/>
      </c>
      <c r="C6" s="1" t="n"/>
      <c r="D6" s="1" t="n"/>
      <c r="E6" s="1" t="n"/>
      <c r="F6" s="1" t="n"/>
    </row>
    <row r="7">
      <c r="A7" s="38" t="inlineStr">
        <is>
          <t>Jalan</t>
        </is>
      </c>
      <c r="B7" s="36">
        <f>COUNTIF('4 Bulan'!G:G,"Jalan")</f>
        <v/>
      </c>
      <c r="C7" s="1" t="n"/>
      <c r="D7" s="1" t="n"/>
      <c r="E7" s="1" t="n"/>
      <c r="F7" s="1" t="n"/>
    </row>
    <row r="8">
      <c r="A8" s="38" t="inlineStr">
        <is>
          <t>Belum</t>
        </is>
      </c>
      <c r="B8" s="36">
        <f>COUNTIF('4 Bulan'!G:G,"Belum")</f>
        <v/>
      </c>
      <c r="C8" s="1" t="n"/>
      <c r="D8" s="1" t="n"/>
      <c r="E8" s="1" t="n"/>
      <c r="F8" s="1" t="n"/>
    </row>
    <row r="9">
      <c r="A9" s="4" t="inlineStr">
        <is>
          <t>Kode</t>
        </is>
      </c>
      <c r="B9" s="4" t="inlineStr">
        <is>
          <t>COUNTIF('4 Bulan'!G:G)</t>
        </is>
      </c>
    </row>
    <row r="10">
      <c r="A10" s="1" t="n"/>
      <c r="B10" s="1" t="n"/>
      <c r="C10" s="1" t="n"/>
      <c r="D10" s="1" t="n"/>
      <c r="E10" s="1" t="n"/>
      <c r="F10" s="1" t="n"/>
    </row>
    <row r="11">
      <c r="A11" s="56" t="inlineStr">
        <is>
          <t>JALUR (pie)</t>
        </is>
      </c>
      <c r="E11" s="1" t="n"/>
      <c r="F11" s="1" t="n"/>
    </row>
    <row r="12">
      <c r="A12" s="32" t="inlineStr">
        <is>
          <t>Jalur</t>
        </is>
      </c>
      <c r="B12" s="32" t="inlineStr">
        <is>
          <t>Rata progress</t>
        </is>
      </c>
      <c r="C12" s="32" t="inlineStr">
        <is>
          <t>Jumlah item</t>
        </is>
      </c>
      <c r="D12" s="32" t="inlineStr">
        <is>
          <t>Nilai pie</t>
        </is>
      </c>
      <c r="E12" s="32" t="inlineStr">
        <is>
          <t>Kode</t>
        </is>
      </c>
      <c r="F12" s="1" t="n"/>
    </row>
    <row r="13">
      <c r="A13" s="38" t="inlineStr">
        <is>
          <t>Komunikasi</t>
        </is>
      </c>
      <c r="B13" s="57">
        <f>IFERROR(AVERAGEIF('4 Bulan'!B:B,"Communication",'4 Bulan'!H:H),0)</f>
        <v/>
      </c>
      <c r="C13" s="36">
        <f>COUNTIF('4 Bulan'!B:B,"Communication")</f>
        <v/>
      </c>
      <c r="D13" s="57">
        <f>IF(SUM($B$13:$B$19)=0,C13,B13)</f>
        <v/>
      </c>
      <c r="E13" s="4" t="inlineStr">
        <is>
          <t>jika semua 0 → jumlah item; jika ada progres → rata progress</t>
        </is>
      </c>
      <c r="F13" s="1" t="n"/>
    </row>
    <row r="14">
      <c r="A14" s="38" t="inlineStr">
        <is>
          <t>Sosial</t>
        </is>
      </c>
      <c r="B14" s="57">
        <f>IFERROR(AVERAGEIF('4 Bulan'!B:B,"Social &amp; Mindset",'4 Bulan'!H:H),0)</f>
        <v/>
      </c>
      <c r="C14" s="36">
        <f>COUNTIF('4 Bulan'!B:B,"Social &amp; Mindset")</f>
        <v/>
      </c>
      <c r="D14" s="57">
        <f>IF(SUM($B$13:$B$19)=0,C14,B14)</f>
        <v/>
      </c>
      <c r="E14" s="4" t="inlineStr">
        <is>
          <t>jika semua 0 → jumlah item; jika ada progres → rata progress</t>
        </is>
      </c>
      <c r="F14" s="1" t="n"/>
    </row>
    <row r="15">
      <c r="A15" s="38" t="inlineStr">
        <is>
          <t>GSA</t>
        </is>
      </c>
      <c r="B15" s="57">
        <f>IFERROR(AVERAGEIF('4 Bulan'!B:B,"GSA &amp; Content",'4 Bulan'!H:H),0)</f>
        <v/>
      </c>
      <c r="C15" s="36">
        <f>COUNTIF('4 Bulan'!B:B,"GSA &amp; Content")</f>
        <v/>
      </c>
      <c r="D15" s="57">
        <f>IF(SUM($B$13:$B$19)=0,C15,B15)</f>
        <v/>
      </c>
      <c r="E15" s="4" t="inlineStr">
        <is>
          <t>jika semua 0 → jumlah item; jika ada progres → rata progress</t>
        </is>
      </c>
      <c r="F15" s="1" t="n"/>
    </row>
    <row r="16">
      <c r="A16" s="38" t="inlineStr">
        <is>
          <t>English</t>
        </is>
      </c>
      <c r="B16" s="57">
        <f>IFERROR(AVERAGEIF('4 Bulan'!B:B,"English",'4 Bulan'!H:H),0)</f>
        <v/>
      </c>
      <c r="C16" s="36">
        <f>COUNTIF('4 Bulan'!B:B,"English")</f>
        <v/>
      </c>
      <c r="D16" s="57">
        <f>IF(SUM($B$13:$B$19)=0,C16,B16)</f>
        <v/>
      </c>
      <c r="E16" s="4" t="inlineStr">
        <is>
          <t>jika semua 0 → jumlah item; jika ada progres → rata progress</t>
        </is>
      </c>
      <c r="F16" s="1" t="n"/>
    </row>
    <row r="17">
      <c r="A17" s="38" t="inlineStr">
        <is>
          <t>Teknis</t>
        </is>
      </c>
      <c r="B17" s="57">
        <f>IFERROR(AVERAGEIF('4 Bulan'!B:B,"Technical",'4 Bulan'!H:H),0)</f>
        <v/>
      </c>
      <c r="C17" s="36">
        <f>COUNTIF('4 Bulan'!B:B,"Technical")</f>
        <v/>
      </c>
      <c r="D17" s="57">
        <f>IF(SUM($B$13:$B$19)=0,C17,B17)</f>
        <v/>
      </c>
      <c r="E17" s="4" t="inlineStr">
        <is>
          <t>jika semua 0 → jumlah item; jika ada progres → rata progress</t>
        </is>
      </c>
      <c r="F17" s="1" t="n"/>
    </row>
    <row r="18">
      <c r="A18" s="38" t="inlineStr">
        <is>
          <t>Karier</t>
        </is>
      </c>
      <c r="B18" s="57">
        <f>IFERROR(AVERAGEIF('4 Bulan'!B:B,"Career",'4 Bulan'!H:H),0)</f>
        <v/>
      </c>
      <c r="C18" s="36">
        <f>COUNTIF('4 Bulan'!B:B,"Career")</f>
        <v/>
      </c>
      <c r="D18" s="57">
        <f>IF(SUM($B$13:$B$19)=0,C18,B18)</f>
        <v/>
      </c>
      <c r="E18" s="4" t="inlineStr">
        <is>
          <t>jika semua 0 → jumlah item; jika ada progres → rata progress</t>
        </is>
      </c>
      <c r="F18" s="1" t="n"/>
    </row>
    <row r="19">
      <c r="A19" s="38" t="inlineStr">
        <is>
          <t>Kuliah</t>
        </is>
      </c>
      <c r="B19" s="57">
        <f>IFERROR(AVERAGEIF('4 Bulan'!B:B,"Academic",'4 Bulan'!H:H),0)</f>
        <v/>
      </c>
      <c r="C19" s="36">
        <f>COUNTIF('4 Bulan'!B:B,"Academic")</f>
        <v/>
      </c>
      <c r="D19" s="57">
        <f>IF(SUM($B$13:$B$19)=0,C19,B19)</f>
        <v/>
      </c>
      <c r="E19" s="4" t="inlineStr">
        <is>
          <t>jika semua 0 → jumlah item; jika ada progres → rata progress</t>
        </is>
      </c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56" t="inlineStr">
        <is>
          <t>4 BULAN (kartu dashboard)</t>
        </is>
      </c>
      <c r="F21" s="1" t="n"/>
    </row>
    <row r="22">
      <c r="A22" s="32" t="inlineStr">
        <is>
          <t>Kode</t>
        </is>
      </c>
      <c r="B22" s="32" t="inlineStr">
        <is>
          <t>Rata %</t>
        </is>
      </c>
      <c r="C22" s="32" t="inlineStr">
        <is>
          <t>Selesai</t>
        </is>
      </c>
      <c r="D22" s="32" t="inlineStr">
        <is>
          <t>Total</t>
        </is>
      </c>
      <c r="E22" s="32" t="inlineStr">
        <is>
          <t>Label kartu</t>
        </is>
      </c>
      <c r="F22" s="32" t="inlineStr">
        <is>
          <t>Kode</t>
        </is>
      </c>
    </row>
    <row r="23">
      <c r="A23" s="33" t="inlineStr">
        <is>
          <t>Okt</t>
        </is>
      </c>
      <c r="B23" s="58">
        <f>IFERROR(AVERAGE('4 Bulan'!H7:H17)/100,0)</f>
        <v/>
      </c>
      <c r="C23" s="36">
        <f>COUNTIF('4 Bulan'!G7:G17,"Selesai")</f>
        <v/>
      </c>
      <c r="D23" s="36">
        <f>COUNTA('4 Bulan'!A7:A17)</f>
        <v/>
      </c>
      <c r="E23" s="59">
        <f>C23&amp;" / "&amp;D23&amp;" selesai"</f>
        <v/>
      </c>
      <c r="F23" s="4" t="inlineStr">
        <is>
          <t>AVERAGE/COUNTIF 4 Bulan!H7:H17</t>
        </is>
      </c>
    </row>
    <row r="24">
      <c r="A24" s="33" t="inlineStr">
        <is>
          <t>Nov</t>
        </is>
      </c>
      <c r="B24" s="58">
        <f>IFERROR(AVERAGE('4 Bulan'!H22:H30)/100,0)</f>
        <v/>
      </c>
      <c r="C24" s="36">
        <f>COUNTIF('4 Bulan'!G22:G30,"Selesai")</f>
        <v/>
      </c>
      <c r="D24" s="36">
        <f>COUNTA('4 Bulan'!A22:A30)</f>
        <v/>
      </c>
      <c r="E24" s="59">
        <f>C24&amp;" / "&amp;D24&amp;" selesai"</f>
        <v/>
      </c>
      <c r="F24" s="4" t="inlineStr">
        <is>
          <t>AVERAGE/COUNTIF 4 Bulan!H22:H30</t>
        </is>
      </c>
    </row>
    <row r="25">
      <c r="A25" s="33" t="inlineStr">
        <is>
          <t>Des</t>
        </is>
      </c>
      <c r="B25" s="58">
        <f>IFERROR(AVERAGE('4 Bulan'!H35:H43)/100,0)</f>
        <v/>
      </c>
      <c r="C25" s="36">
        <f>COUNTIF('4 Bulan'!G35:G43,"Selesai")</f>
        <v/>
      </c>
      <c r="D25" s="36">
        <f>COUNTA('4 Bulan'!A35:A43)</f>
        <v/>
      </c>
      <c r="E25" s="59">
        <f>C25&amp;" / "&amp;D25&amp;" selesai"</f>
        <v/>
      </c>
      <c r="F25" s="4" t="inlineStr">
        <is>
          <t>AVERAGE/COUNTIF 4 Bulan!H35:H43</t>
        </is>
      </c>
    </row>
    <row r="26">
      <c r="A26" s="33" t="inlineStr">
        <is>
          <t>Jan</t>
        </is>
      </c>
      <c r="B26" s="58">
        <f>IFERROR(AVERAGE('4 Bulan'!H48:H53)/100,0)</f>
        <v/>
      </c>
      <c r="C26" s="36">
        <f>COUNTIF('4 Bulan'!G48:G53,"Selesai")</f>
        <v/>
      </c>
      <c r="D26" s="36">
        <f>COUNTA('4 Bulan'!A48:A53)</f>
        <v/>
      </c>
      <c r="E26" s="59">
        <f>C26&amp;" / "&amp;D26&amp;" selesai"</f>
        <v/>
      </c>
      <c r="F26" s="4" t="inlineStr">
        <is>
          <t>AVERAGE/COUNTIF 4 Bulan!H48:H53</t>
        </is>
      </c>
    </row>
    <row r="27">
      <c r="A27" s="1" t="n"/>
      <c r="B27" s="1" t="n"/>
      <c r="C27" s="1" t="n"/>
      <c r="D27" s="1" t="n"/>
      <c r="E27" s="1" t="n"/>
      <c r="F27" s="1" t="n"/>
    </row>
    <row r="28">
      <c r="A28" s="56" t="inlineStr">
        <is>
          <t>GSA</t>
        </is>
      </c>
      <c r="C28" s="1" t="n"/>
      <c r="D28" s="1" t="n"/>
      <c r="E28" s="1" t="n"/>
      <c r="F28" s="1" t="n"/>
    </row>
    <row r="29">
      <c r="A29" s="32" t="inlineStr">
        <is>
          <t>Label</t>
        </is>
      </c>
      <c r="B29" s="32" t="inlineStr">
        <is>
          <t>Nilai</t>
        </is>
      </c>
      <c r="C29" s="1" t="n"/>
      <c r="D29" s="1" t="n"/>
      <c r="E29" s="1" t="n"/>
      <c r="F29" s="1" t="n"/>
    </row>
    <row r="30">
      <c r="A30" s="38" t="inlineStr">
        <is>
          <t>Sudah</t>
        </is>
      </c>
      <c r="B30" s="36">
        <f>SUM(GSA!D6:D23)</f>
        <v/>
      </c>
      <c r="C30" s="1" t="n"/>
      <c r="D30" s="1" t="n"/>
      <c r="E30" s="1" t="n"/>
      <c r="F30" s="1" t="n"/>
    </row>
    <row r="31">
      <c r="A31" s="38" t="inlineStr">
        <is>
          <t>Sisa target</t>
        </is>
      </c>
      <c r="B31" s="36">
        <f>MAX(0,36-B30)</f>
        <v/>
      </c>
      <c r="C31" s="1" t="n"/>
      <c r="D31" s="1" t="n"/>
      <c r="E31" s="1" t="n"/>
      <c r="F31" s="1" t="n"/>
    </row>
    <row r="32">
      <c r="A32" s="38" t="inlineStr">
        <is>
          <t>Progress</t>
        </is>
      </c>
      <c r="B32" s="58">
        <f>IFERROR(B30/36,0)</f>
        <v/>
      </c>
      <c r="C32" s="1" t="n"/>
      <c r="D32" s="1" t="n"/>
      <c r="E32" s="1" t="n"/>
      <c r="F32" s="1" t="n"/>
    </row>
    <row r="33">
      <c r="A33" s="4" t="inlineStr">
        <is>
          <t>Kode</t>
        </is>
      </c>
      <c r="B33" s="4" t="inlineStr">
        <is>
          <t>SUM(GSA!D6:D23) dan 36-konten</t>
        </is>
      </c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56" t="inlineStr">
        <is>
          <t>WPM (live ke grafik)</t>
        </is>
      </c>
      <c r="D35" s="1" t="n"/>
      <c r="E35" s="1" t="n"/>
      <c r="F35" s="1" t="n"/>
    </row>
    <row r="36">
      <c r="A36" s="32" t="inlineStr">
        <is>
          <t>Bulan</t>
        </is>
      </c>
      <c r="B36" s="32" t="inlineStr">
        <is>
          <t>Target</t>
        </is>
      </c>
      <c r="C36" s="32" t="inlineStr">
        <is>
          <t>Aktual</t>
        </is>
      </c>
      <c r="D36" s="1" t="n"/>
      <c r="E36" s="1" t="n"/>
      <c r="F36" s="1" t="n"/>
    </row>
    <row r="37">
      <c r="A37" s="38" t="inlineStr">
        <is>
          <t>Okt</t>
        </is>
      </c>
      <c r="B37" s="36">
        <f>WPM!C6</f>
        <v/>
      </c>
      <c r="C37" s="36">
        <f>N(WPM!D6)</f>
        <v/>
      </c>
      <c r="D37" s="1" t="n"/>
      <c r="E37" s="1" t="n"/>
      <c r="F37" s="1" t="n"/>
    </row>
    <row r="38">
      <c r="A38" s="38" t="inlineStr">
        <is>
          <t>Nov</t>
        </is>
      </c>
      <c r="B38" s="36">
        <f>WPM!C7</f>
        <v/>
      </c>
      <c r="C38" s="36">
        <f>N(WPM!D7)</f>
        <v/>
      </c>
      <c r="D38" s="1" t="n"/>
      <c r="E38" s="1" t="n"/>
      <c r="F38" s="1" t="n"/>
    </row>
    <row r="39">
      <c r="A39" s="38" t="inlineStr">
        <is>
          <t>Des</t>
        </is>
      </c>
      <c r="B39" s="36">
        <f>WPM!C8</f>
        <v/>
      </c>
      <c r="C39" s="36">
        <f>N(WPM!D8)</f>
        <v/>
      </c>
      <c r="D39" s="1" t="n"/>
      <c r="E39" s="1" t="n"/>
      <c r="F39" s="1" t="n"/>
    </row>
    <row r="40">
      <c r="A40" s="38" t="inlineStr">
        <is>
          <t>Jan</t>
        </is>
      </c>
      <c r="B40" s="36">
        <f>WPM!C9</f>
        <v/>
      </c>
      <c r="C40" s="36">
        <f>N(WPM!D9)</f>
        <v/>
      </c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</sheetData>
  <mergeCells count="8">
    <mergeCell ref="A4:B4"/>
    <mergeCell ref="A2:F2"/>
    <mergeCell ref="A21:E21"/>
    <mergeCell ref="A1:F1"/>
    <mergeCell ref="A28:B28"/>
    <mergeCell ref="A11:D11"/>
    <mergeCell ref="A35:C35"/>
    <mergeCell ref="B9:F9"/>
  </mergeCells>
  <pageMargins left="0.4" right="0.4" top="0.5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4F6F62"/>
    <outlinePr summaryBelow="1" summaryRight="1"/>
    <pageSetUpPr fitToPage="1"/>
  </sheetPr>
  <dimension ref="A1:B20"/>
  <sheetViews>
    <sheetView showGridLines="0" zoomScale="90" workbookViewId="0">
      <selection activeCell="A1" sqref="A1"/>
    </sheetView>
  </sheetViews>
  <sheetFormatPr baseColWidth="8" defaultRowHeight="15" outlineLevelCol="0"/>
  <cols>
    <col width="3" customWidth="1" min="1" max="1"/>
    <col width="100" customWidth="1" min="2" max="2"/>
  </cols>
  <sheetData>
    <row r="1">
      <c r="A1" s="1" t="n"/>
      <c r="B1" s="1" t="n"/>
    </row>
    <row r="2">
      <c r="A2" s="1" t="n"/>
      <c r="B2" s="3" t="inlineStr">
        <is>
          <t>Cara kerja tautan antar-sheet</t>
        </is>
      </c>
    </row>
    <row r="3">
      <c r="A3" s="1" t="n"/>
      <c r="B3" s="1" t="n"/>
    </row>
    <row r="4" ht="26" customHeight="1">
      <c r="A4" s="1" t="n"/>
      <c r="B4" s="60" t="inlineStr">
        <is>
          <t>1. Isi data di 4 Bulan (Progress 0–100), WPM (Aktual WPM), dan GSA (Aktual konten). Jangan ketik di kolom Status — itu rumus.</t>
        </is>
      </c>
    </row>
    <row r="5" ht="26" customHeight="1">
      <c r="A5" s="1" t="n"/>
      <c r="B5" s="60" t="inlineStr">
        <is>
          <t>2. Status di 4 Bulan = IF(Progress&gt;=100,"Selesai",IF(Progress&gt;0,"Jalan","Belum")).</t>
        </is>
      </c>
    </row>
    <row r="6" ht="26" customHeight="1">
      <c r="A6" s="1" t="n"/>
      <c r="B6" s="60" t="inlineStr">
        <is>
          <t>3. Baris Typing 60/70/80/90 mengambil WPM!D6:D9: Progress = MIN(100, aktual/target*100).</t>
        </is>
      </c>
    </row>
    <row r="7" ht="26" customHeight="1">
      <c r="A7" s="1" t="n"/>
      <c r="B7" s="60" t="inlineStr">
        <is>
          <t>4. Baris konsistensi konten per bulan = SUM aktual GSA minggu bulan itu / target konten bulan itu.</t>
        </is>
      </c>
    </row>
    <row r="8" ht="26" customHeight="1">
      <c r="A8" s="1" t="n"/>
      <c r="B8" s="60" t="inlineStr">
        <is>
          <t>5. Sheet Rumus menghitung COUNTIF/AVERAGEIF/SUM dari ketiga sheet sumber. Pie dan kartu Ringkasan merujuk sel Rumus.</t>
        </is>
      </c>
    </row>
    <row r="9" ht="26" customHeight="1">
      <c r="A9" s="1" t="n"/>
      <c r="B9" s="60" t="inlineStr">
        <is>
          <t>6. Ganti angka di 4 Bulan / WPM / GSA → tekan Enter → Ringkasan, pie, dan kartu bulan berubah (Excel: enable automatic calculation).</t>
        </is>
      </c>
    </row>
    <row r="10" ht="26" customHeight="1">
      <c r="A10" s="1" t="n"/>
      <c r="B10" s="60" t="inlineStr">
        <is>
          <t>7. Buka di Microsoft Excel. Google Sheets mendukung rumusnya; chart Excel kadang perlu dibuat ulang di Sheets.</t>
        </is>
      </c>
    </row>
    <row r="11" ht="26" customHeight="1">
      <c r="A11" s="1" t="n"/>
      <c r="B11" s="60" t="inlineStr">
        <is>
          <t>8. Sheet Rumus adalah mesin kode. Jangan hapus. Named ranges: StatusSelesai, StatusJalan, StatusBelum, GsaSudah, GsaSisa.</t>
        </is>
      </c>
    </row>
    <row r="12">
      <c r="A12" s="1" t="n"/>
      <c r="B12" s="1" t="n"/>
    </row>
    <row r="13">
      <c r="A13" s="1" t="n"/>
      <c r="B13" s="1" t="n"/>
    </row>
    <row r="14">
      <c r="A14" s="1" t="n"/>
      <c r="B14" s="1" t="n"/>
    </row>
    <row r="15">
      <c r="A15" s="1" t="n"/>
      <c r="B15" s="1" t="n"/>
    </row>
    <row r="16">
      <c r="A16" s="1" t="n"/>
      <c r="B16" s="1" t="n"/>
    </row>
    <row r="17">
      <c r="A17" s="1" t="n"/>
      <c r="B17" s="1" t="n"/>
    </row>
    <row r="18">
      <c r="A18" s="1" t="n"/>
      <c r="B18" s="1" t="n"/>
    </row>
    <row r="19">
      <c r="A19" s="1" t="n"/>
      <c r="B19" s="1" t="n"/>
    </row>
    <row r="20">
      <c r="A20" s="1" t="n"/>
      <c r="B20" s="1" t="n"/>
    </row>
  </sheetData>
  <pageMargins left="0.4" right="0.4" top="0.5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Planning Semester 5</dc:creator>
  <dc:title>Planning Semester 5 — linked formulas</dc:title>
  <dcterms:created xsi:type="dcterms:W3CDTF">2026-10-04T03:00:06Z</dcterms:created>
  <dcterms:modified xsi:type="dcterms:W3CDTF">2026-10-04T03:00:07Z</dcterms:modified>
</cp:coreProperties>
</file>